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codeName="ThisWorkbook"/>
  <mc:AlternateContent xmlns:mc="http://schemas.openxmlformats.org/markup-compatibility/2006">
    <mc:Choice Requires="x15">
      <x15ac:absPath xmlns:x15ac="http://schemas.microsoft.com/office/spreadsheetml/2010/11/ac" url="https://whiskeyhouse.sharepoint.com/sites/WHKDistilleryOperations/Shared Documents/General/WHSE/WHSE TTB Reporting/"/>
    </mc:Choice>
  </mc:AlternateContent>
  <xr:revisionPtr revIDLastSave="0" documentId="8_{CECF77AA-57BB-4B18-BDA7-0C4FC3120E05}" xr6:coauthVersionLast="47" xr6:coauthVersionMax="47" xr10:uidLastSave="{00000000-0000-0000-0000-000000000000}"/>
  <bookViews>
    <workbookView xWindow="1280" yWindow="760" windowWidth="28960" windowHeight="18880" xr2:uid="{3CAF03E8-9056-49EC-8057-4BFEB533C308}"/>
  </bookViews>
  <sheets>
    <sheet name="TTB Reporting" sheetId="1" r:id="rId1"/>
    <sheet name="Sheet2" sheetId="5" r:id="rId2"/>
    <sheet name="Sheet1" sheetId="4" state="hidden" r:id="rId3"/>
    <sheet name="DropDown Data" sheetId="2" state="hidden" r:id="rId4"/>
    <sheet name="Tracking Data" sheetId="3" r:id="rId5"/>
  </sheets>
  <definedNames>
    <definedName name="_xlnm._FilterDatabase" localSheetId="2" hidden="1">Sheet1!$A$1:$H$286</definedName>
    <definedName name="_xlnm._FilterDatabase" localSheetId="0" hidden="1">'TTB Reporting'!$B$1:$AD$2</definedName>
    <definedName name="_xlnm.Print_Titles" localSheetId="0">'TTB Reporting'!$1:$1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N2" i="1"/>
  <c r="T2" i="1"/>
  <c r="U2" i="1"/>
  <c r="M3" i="1"/>
  <c r="O3" i="1"/>
  <c r="T3" i="1"/>
  <c r="U3" i="1"/>
  <c r="M4" i="1"/>
  <c r="O4" i="1"/>
  <c r="T4" i="1"/>
  <c r="U4" i="1"/>
  <c r="H5" i="1"/>
  <c r="M5" i="1"/>
  <c r="N5" i="1"/>
  <c r="O5" i="1"/>
  <c r="T5" i="1"/>
  <c r="U5" i="1"/>
  <c r="M6" i="1"/>
  <c r="O6" i="1"/>
  <c r="T6" i="1"/>
  <c r="U6" i="1"/>
  <c r="M7" i="1"/>
  <c r="N7" i="1"/>
  <c r="O7" i="1"/>
  <c r="T7" i="1"/>
  <c r="U7" i="1"/>
  <c r="M8" i="1"/>
  <c r="O8" i="1"/>
  <c r="T8" i="1"/>
  <c r="U8" i="1"/>
  <c r="H9" i="1"/>
  <c r="M9" i="1"/>
  <c r="N9" i="1"/>
  <c r="O9" i="1"/>
  <c r="T9" i="1"/>
  <c r="U9" i="1"/>
  <c r="H10" i="1"/>
  <c r="M10" i="1"/>
  <c r="N10" i="1"/>
  <c r="O10" i="1"/>
  <c r="T10" i="1"/>
  <c r="U10" i="1"/>
  <c r="M11" i="1"/>
  <c r="N11" i="1"/>
  <c r="O11" i="1"/>
  <c r="T11" i="1"/>
  <c r="U11" i="1"/>
  <c r="H12" i="1"/>
  <c r="M12" i="1"/>
  <c r="O12" i="1"/>
  <c r="T12" i="1"/>
  <c r="U12" i="1"/>
  <c r="H13" i="1"/>
  <c r="M13" i="1"/>
  <c r="O13" i="1"/>
  <c r="T13" i="1"/>
  <c r="U13" i="1"/>
  <c r="H14" i="1"/>
  <c r="M14" i="1"/>
  <c r="O14" i="1"/>
  <c r="T14" i="1"/>
  <c r="U14" i="1"/>
  <c r="M15" i="1"/>
  <c r="O15" i="1"/>
  <c r="T15" i="1"/>
  <c r="U15" i="1"/>
  <c r="M16" i="1"/>
  <c r="O16" i="1"/>
  <c r="T16" i="1"/>
  <c r="U16" i="1"/>
  <c r="M17" i="1"/>
  <c r="N17" i="1"/>
  <c r="O17" i="1"/>
  <c r="T17" i="1"/>
  <c r="U17" i="1"/>
  <c r="M18" i="1"/>
  <c r="N18" i="1"/>
  <c r="O18" i="1"/>
  <c r="T18" i="1"/>
  <c r="U18" i="1"/>
  <c r="M19" i="1"/>
  <c r="N19" i="1"/>
  <c r="O19" i="1"/>
  <c r="T19" i="1"/>
  <c r="U19" i="1"/>
  <c r="H20" i="1"/>
  <c r="M20" i="1"/>
  <c r="O20" i="1"/>
  <c r="T20" i="1"/>
  <c r="U20" i="1"/>
  <c r="M21" i="1"/>
  <c r="N21" i="1"/>
  <c r="O21" i="1"/>
  <c r="T21" i="1"/>
  <c r="U21" i="1"/>
  <c r="H22" i="1"/>
  <c r="M22" i="1"/>
  <c r="O22" i="1"/>
  <c r="T22" i="1"/>
  <c r="U22" i="1"/>
  <c r="M23" i="1"/>
  <c r="N23" i="1"/>
  <c r="O23" i="1"/>
  <c r="T23" i="1"/>
  <c r="U23" i="1"/>
  <c r="M24" i="1"/>
  <c r="N24" i="1"/>
  <c r="O24" i="1"/>
  <c r="T24" i="1"/>
  <c r="U24" i="1"/>
  <c r="H25" i="1"/>
  <c r="M25" i="1"/>
  <c r="N25" i="1"/>
  <c r="O25" i="1"/>
  <c r="T25" i="1"/>
  <c r="U25" i="1"/>
  <c r="H26" i="1"/>
  <c r="M26" i="1"/>
  <c r="O26" i="1"/>
  <c r="T26" i="1"/>
  <c r="U26" i="1"/>
  <c r="M27" i="1"/>
  <c r="O27" i="1"/>
  <c r="T27" i="1"/>
  <c r="U27" i="1"/>
  <c r="M28" i="1"/>
  <c r="O28" i="1"/>
  <c r="T28" i="1"/>
  <c r="U28" i="1"/>
  <c r="M29" i="1"/>
  <c r="N29" i="1"/>
  <c r="O29" i="1"/>
  <c r="T29" i="1"/>
  <c r="U29" i="1"/>
  <c r="M30" i="1"/>
  <c r="O30" i="1"/>
  <c r="T30" i="1"/>
  <c r="U30" i="1"/>
  <c r="H31" i="1"/>
  <c r="M31" i="1"/>
  <c r="N31" i="1"/>
  <c r="O31" i="1"/>
  <c r="T31" i="1"/>
  <c r="U31" i="1"/>
  <c r="M32" i="1"/>
  <c r="N32" i="1"/>
  <c r="O32" i="1"/>
  <c r="T32" i="1"/>
  <c r="U32" i="1"/>
  <c r="H33" i="1"/>
  <c r="M33" i="1"/>
  <c r="O33" i="1"/>
  <c r="T33" i="1"/>
  <c r="U33" i="1"/>
  <c r="M34" i="1"/>
  <c r="O34" i="1"/>
  <c r="T34" i="1"/>
  <c r="U34" i="1"/>
  <c r="H35" i="1"/>
  <c r="M35" i="1"/>
  <c r="N35" i="1"/>
  <c r="O35" i="1"/>
  <c r="S35" i="1"/>
  <c r="T35" i="1"/>
  <c r="U35" i="1"/>
  <c r="M36" i="1"/>
  <c r="O36" i="1"/>
  <c r="T36" i="1"/>
  <c r="U36" i="1"/>
  <c r="M37" i="1"/>
  <c r="N37" i="1"/>
  <c r="O37" i="1"/>
  <c r="T37" i="1"/>
  <c r="U37" i="1"/>
  <c r="M38" i="1"/>
  <c r="N38" i="1"/>
  <c r="O38" i="1"/>
  <c r="T38" i="1"/>
  <c r="U38" i="1"/>
  <c r="M39" i="1"/>
  <c r="N39" i="1"/>
  <c r="O39" i="1"/>
  <c r="T39" i="1"/>
  <c r="U39" i="1"/>
  <c r="M40" i="1"/>
  <c r="N40" i="1"/>
  <c r="O40" i="1"/>
  <c r="T40" i="1"/>
  <c r="U40" i="1"/>
  <c r="M41" i="1"/>
  <c r="N41" i="1"/>
  <c r="O41" i="1"/>
  <c r="T41" i="1"/>
  <c r="U41" i="1"/>
  <c r="M42" i="1"/>
  <c r="N42" i="1"/>
  <c r="O42" i="1"/>
  <c r="T42" i="1"/>
  <c r="U42" i="1"/>
  <c r="M43" i="1"/>
  <c r="N43" i="1"/>
  <c r="O43" i="1"/>
  <c r="T43" i="1"/>
  <c r="U43" i="1"/>
  <c r="H44" i="1"/>
  <c r="M44" i="1"/>
  <c r="N44" i="1"/>
  <c r="O44" i="1"/>
  <c r="T44" i="1"/>
  <c r="U44" i="1"/>
  <c r="M45" i="1"/>
  <c r="N45" i="1"/>
  <c r="O45" i="1"/>
  <c r="T45" i="1"/>
  <c r="U45" i="1"/>
  <c r="H46" i="1"/>
  <c r="M46" i="1"/>
  <c r="N46" i="1"/>
  <c r="O46" i="1"/>
  <c r="T46" i="1"/>
  <c r="U46" i="1"/>
  <c r="M47" i="1"/>
  <c r="N47" i="1"/>
  <c r="O47" i="1"/>
  <c r="T47" i="1"/>
  <c r="U47" i="1"/>
  <c r="M48" i="1"/>
  <c r="N48" i="1"/>
  <c r="O48" i="1"/>
  <c r="T48" i="1"/>
  <c r="U48" i="1"/>
  <c r="M49" i="1"/>
  <c r="N49" i="1"/>
  <c r="O49" i="1"/>
  <c r="T49" i="1"/>
  <c r="U49" i="1"/>
  <c r="M50" i="1"/>
  <c r="N50" i="1"/>
  <c r="O50" i="1"/>
  <c r="T50" i="1"/>
  <c r="U50" i="1"/>
  <c r="M51" i="1"/>
  <c r="N51" i="1"/>
  <c r="O51" i="1"/>
  <c r="T51" i="1"/>
  <c r="U51" i="1"/>
  <c r="H52" i="1"/>
  <c r="M52" i="1"/>
  <c r="N52" i="1"/>
  <c r="O52" i="1"/>
  <c r="T52" i="1"/>
  <c r="U52" i="1"/>
  <c r="N53" i="1"/>
  <c r="O53" i="1"/>
  <c r="T53" i="1"/>
  <c r="U53" i="1"/>
  <c r="H54" i="1"/>
  <c r="M54" i="1"/>
  <c r="O54" i="1"/>
  <c r="T54" i="1"/>
  <c r="U54" i="1"/>
  <c r="M55" i="1"/>
  <c r="O55" i="1"/>
  <c r="T55" i="1"/>
  <c r="U55" i="1"/>
  <c r="M56" i="1"/>
  <c r="N56" i="1"/>
  <c r="O56" i="1"/>
  <c r="T56" i="1"/>
  <c r="U56" i="1"/>
  <c r="M57" i="1"/>
  <c r="N57" i="1"/>
  <c r="O57" i="1"/>
  <c r="T57" i="1"/>
  <c r="U57" i="1"/>
  <c r="M58" i="1"/>
  <c r="O58" i="1"/>
  <c r="T58" i="1"/>
  <c r="U58" i="1"/>
  <c r="M59" i="1"/>
  <c r="N59" i="1"/>
  <c r="O59" i="1"/>
  <c r="T59" i="1"/>
  <c r="U59" i="1"/>
  <c r="M60" i="1"/>
  <c r="N60" i="1"/>
  <c r="O60" i="1"/>
  <c r="T60" i="1"/>
  <c r="U60" i="1"/>
  <c r="H61" i="1"/>
  <c r="M61" i="1"/>
  <c r="O61" i="1"/>
  <c r="T61" i="1"/>
  <c r="U61" i="1"/>
  <c r="M62" i="1"/>
  <c r="N62" i="1"/>
  <c r="O62" i="1"/>
  <c r="T62" i="1"/>
  <c r="U62" i="1"/>
  <c r="M63" i="1"/>
  <c r="N63" i="1"/>
  <c r="O63" i="1"/>
  <c r="T63" i="1"/>
  <c r="U63" i="1"/>
  <c r="H64" i="1"/>
  <c r="M64" i="1"/>
  <c r="N64" i="1"/>
  <c r="O64" i="1"/>
  <c r="T64" i="1"/>
  <c r="U64" i="1"/>
  <c r="H65" i="1"/>
  <c r="M65" i="1"/>
  <c r="N65" i="1"/>
  <c r="O65" i="1"/>
  <c r="T65" i="1"/>
  <c r="U65" i="1"/>
  <c r="M66" i="1"/>
  <c r="N66" i="1"/>
  <c r="O66" i="1"/>
  <c r="T66" i="1"/>
  <c r="U66" i="1"/>
  <c r="M67" i="1"/>
  <c r="N67" i="1"/>
  <c r="O67" i="1"/>
  <c r="T67" i="1"/>
  <c r="U67" i="1"/>
  <c r="M68" i="1"/>
  <c r="N68" i="1"/>
  <c r="O68" i="1"/>
  <c r="T68" i="1"/>
  <c r="U68" i="1"/>
  <c r="M69" i="1"/>
  <c r="N69" i="1"/>
  <c r="O69" i="1"/>
  <c r="T69" i="1"/>
  <c r="U69" i="1"/>
  <c r="H70" i="1"/>
  <c r="M70" i="1"/>
  <c r="N70" i="1"/>
  <c r="O70" i="1"/>
  <c r="T70" i="1"/>
  <c r="U70" i="1"/>
  <c r="M71" i="1"/>
  <c r="N71" i="1"/>
  <c r="O71" i="1"/>
  <c r="T71" i="1"/>
  <c r="U71" i="1"/>
  <c r="H72" i="1"/>
  <c r="L72" i="1"/>
  <c r="M72" i="1"/>
  <c r="N72" i="1"/>
  <c r="O72" i="1"/>
  <c r="T72" i="1"/>
  <c r="U72" i="1"/>
  <c r="H73" i="1"/>
  <c r="M73" i="1"/>
  <c r="N73" i="1"/>
  <c r="O73" i="1"/>
  <c r="T73" i="1"/>
  <c r="U73" i="1"/>
  <c r="M74" i="1"/>
  <c r="N74" i="1"/>
  <c r="O74" i="1"/>
  <c r="T74" i="1"/>
  <c r="U74" i="1"/>
  <c r="H75" i="1"/>
  <c r="L75" i="1"/>
  <c r="M75" i="1"/>
  <c r="N75" i="1"/>
  <c r="O75" i="1"/>
  <c r="T75" i="1"/>
  <c r="U75" i="1"/>
  <c r="H76" i="1"/>
  <c r="L76" i="1"/>
  <c r="M76" i="1"/>
  <c r="N76" i="1"/>
  <c r="O76" i="1"/>
  <c r="T76" i="1"/>
  <c r="U76" i="1"/>
  <c r="M77" i="1"/>
  <c r="N77" i="1"/>
  <c r="O77" i="1"/>
  <c r="T77" i="1"/>
  <c r="U77" i="1"/>
  <c r="H78" i="1"/>
  <c r="L78" i="1"/>
  <c r="M78" i="1"/>
  <c r="N78" i="1"/>
  <c r="O78" i="1"/>
  <c r="T78" i="1"/>
  <c r="U78" i="1"/>
  <c r="H79" i="1"/>
  <c r="M79" i="1"/>
  <c r="O79" i="1"/>
  <c r="T79" i="1"/>
  <c r="U79" i="1"/>
  <c r="H80" i="1"/>
  <c r="L80" i="1"/>
  <c r="M80" i="1"/>
  <c r="N80" i="1"/>
  <c r="O80" i="1"/>
  <c r="T80" i="1"/>
  <c r="U80" i="1"/>
  <c r="L81" i="1"/>
  <c r="M81" i="1"/>
  <c r="N81" i="1"/>
  <c r="O81" i="1"/>
  <c r="T81" i="1"/>
  <c r="U81" i="1"/>
  <c r="H82" i="1"/>
  <c r="M82" i="1"/>
  <c r="N82" i="1"/>
  <c r="O82" i="1"/>
  <c r="T82" i="1"/>
  <c r="U82" i="1"/>
  <c r="L83" i="1"/>
  <c r="M83" i="1"/>
  <c r="N83" i="1"/>
  <c r="O83" i="1"/>
  <c r="T83" i="1"/>
  <c r="U83" i="1"/>
  <c r="H84" i="1"/>
  <c r="L84" i="1"/>
  <c r="M84" i="1"/>
  <c r="N84" i="1"/>
  <c r="O84" i="1"/>
  <c r="R84" i="1"/>
  <c r="T84" i="1"/>
  <c r="U84" i="1"/>
  <c r="L85" i="1"/>
  <c r="M85" i="1"/>
  <c r="N85" i="1"/>
  <c r="O85" i="1"/>
  <c r="T85" i="1"/>
  <c r="U85" i="1"/>
  <c r="L86" i="1"/>
  <c r="M86" i="1"/>
  <c r="N86" i="1"/>
  <c r="O86" i="1"/>
  <c r="T86" i="1"/>
  <c r="U86" i="1"/>
  <c r="H87" i="1"/>
  <c r="L87" i="1"/>
  <c r="M87" i="1"/>
  <c r="N87" i="1"/>
  <c r="O87" i="1"/>
  <c r="T87" i="1"/>
  <c r="U87" i="1"/>
  <c r="H88" i="1"/>
  <c r="M88" i="1"/>
  <c r="N88" i="1"/>
  <c r="O88" i="1"/>
  <c r="T88" i="1"/>
  <c r="U88" i="1"/>
  <c r="H89" i="1"/>
  <c r="M89" i="1"/>
  <c r="N89" i="1"/>
  <c r="O89" i="1"/>
  <c r="T89" i="1"/>
  <c r="U89" i="1"/>
  <c r="H90" i="1"/>
  <c r="L90" i="1"/>
  <c r="M90" i="1"/>
  <c r="N90" i="1"/>
  <c r="O90" i="1"/>
  <c r="T90" i="1"/>
  <c r="U90" i="1"/>
  <c r="H91" i="1"/>
  <c r="L91" i="1"/>
  <c r="M91" i="1"/>
  <c r="N91" i="1"/>
  <c r="O91" i="1"/>
  <c r="T91" i="1"/>
  <c r="U91" i="1"/>
  <c r="H92" i="1"/>
  <c r="L92" i="1"/>
  <c r="M92" i="1"/>
  <c r="N92" i="1"/>
  <c r="O92" i="1"/>
  <c r="T92" i="1"/>
  <c r="U92" i="1"/>
  <c r="H93" i="1"/>
  <c r="L93" i="1"/>
  <c r="M93" i="1"/>
  <c r="N93" i="1"/>
  <c r="O93" i="1"/>
  <c r="T93" i="1"/>
  <c r="U93" i="1"/>
  <c r="L94" i="1"/>
  <c r="M94" i="1"/>
  <c r="N94" i="1"/>
  <c r="O94" i="1"/>
  <c r="T94" i="1"/>
  <c r="U94" i="1"/>
  <c r="H95" i="1"/>
  <c r="L95" i="1"/>
  <c r="M95" i="1"/>
  <c r="N95" i="1"/>
  <c r="O95" i="1"/>
  <c r="T95" i="1"/>
  <c r="U95" i="1"/>
  <c r="H96" i="1"/>
  <c r="L96" i="1"/>
  <c r="M96" i="1"/>
  <c r="N96" i="1"/>
  <c r="O96" i="1"/>
  <c r="T96" i="1"/>
  <c r="U96" i="1"/>
  <c r="H97" i="1"/>
  <c r="L97" i="1"/>
  <c r="M97" i="1"/>
  <c r="N97" i="1"/>
  <c r="O97" i="1"/>
  <c r="T97" i="1"/>
  <c r="U97" i="1"/>
  <c r="H98" i="1"/>
  <c r="L98" i="1"/>
  <c r="M98" i="1"/>
  <c r="N98" i="1"/>
  <c r="O98" i="1"/>
  <c r="T98" i="1"/>
  <c r="U98" i="1"/>
  <c r="H99" i="1"/>
  <c r="L99" i="1"/>
  <c r="M99" i="1"/>
  <c r="N99" i="1"/>
  <c r="O99" i="1"/>
  <c r="T99" i="1"/>
  <c r="U99" i="1"/>
  <c r="H100" i="1"/>
  <c r="L100" i="1"/>
  <c r="M100" i="1"/>
  <c r="N100" i="1"/>
  <c r="O100" i="1"/>
  <c r="T100" i="1"/>
  <c r="U100" i="1"/>
  <c r="H101" i="1"/>
  <c r="L101" i="1"/>
  <c r="M101" i="1"/>
  <c r="N101" i="1"/>
  <c r="O101" i="1"/>
  <c r="T101" i="1"/>
  <c r="U101" i="1"/>
  <c r="H102" i="1"/>
  <c r="L102" i="1"/>
  <c r="M102" i="1"/>
  <c r="N102" i="1"/>
  <c r="O102" i="1"/>
  <c r="T102" i="1"/>
  <c r="U102" i="1"/>
  <c r="H103" i="1"/>
  <c r="L103" i="1"/>
  <c r="M103" i="1"/>
  <c r="N103" i="1"/>
  <c r="O103" i="1"/>
  <c r="T103" i="1"/>
  <c r="U103" i="1"/>
  <c r="H104" i="1"/>
  <c r="L104" i="1"/>
  <c r="M104" i="1"/>
  <c r="N104" i="1"/>
  <c r="O104" i="1"/>
  <c r="T104" i="1"/>
  <c r="U104" i="1"/>
  <c r="H105" i="1"/>
  <c r="L105" i="1"/>
  <c r="M105" i="1"/>
  <c r="N105" i="1"/>
  <c r="O105" i="1"/>
  <c r="T105" i="1"/>
  <c r="U105" i="1"/>
  <c r="H106" i="1"/>
  <c r="L106" i="1"/>
  <c r="M106" i="1"/>
  <c r="N106" i="1"/>
  <c r="O106" i="1"/>
  <c r="T106" i="1"/>
  <c r="U106" i="1"/>
  <c r="H107" i="1"/>
  <c r="L107" i="1"/>
  <c r="M107" i="1"/>
  <c r="N107" i="1"/>
  <c r="O107" i="1"/>
  <c r="T107" i="1"/>
  <c r="U107" i="1"/>
  <c r="H108" i="1"/>
  <c r="L108" i="1"/>
  <c r="M108" i="1"/>
  <c r="N108" i="1"/>
  <c r="O108" i="1"/>
  <c r="T108" i="1"/>
  <c r="U108" i="1"/>
  <c r="H109" i="1"/>
  <c r="L109" i="1"/>
  <c r="M109" i="1"/>
  <c r="N109" i="1"/>
  <c r="O109" i="1"/>
  <c r="T109" i="1"/>
  <c r="U109" i="1"/>
  <c r="H110" i="1"/>
  <c r="L110" i="1"/>
  <c r="M110" i="1"/>
  <c r="N110" i="1"/>
  <c r="O110" i="1"/>
  <c r="T110" i="1"/>
  <c r="U110" i="1"/>
  <c r="L111" i="1"/>
  <c r="M111" i="1"/>
  <c r="N111" i="1"/>
  <c r="O111" i="1"/>
  <c r="T111" i="1"/>
  <c r="U111" i="1"/>
  <c r="H112" i="1"/>
  <c r="L112" i="1"/>
  <c r="M112" i="1"/>
  <c r="N112" i="1"/>
  <c r="O112" i="1"/>
  <c r="T112" i="1"/>
  <c r="U112" i="1"/>
  <c r="H113" i="1"/>
  <c r="L113" i="1"/>
  <c r="M113" i="1"/>
  <c r="N113" i="1"/>
  <c r="O113" i="1"/>
  <c r="T113" i="1"/>
  <c r="U113" i="1"/>
  <c r="L114" i="1"/>
  <c r="M114" i="1"/>
  <c r="N114" i="1"/>
  <c r="O114" i="1"/>
  <c r="T114" i="1"/>
  <c r="U114" i="1"/>
  <c r="H115" i="1"/>
  <c r="L115" i="1"/>
  <c r="M115" i="1"/>
  <c r="N115" i="1"/>
  <c r="O115" i="1"/>
  <c r="T115" i="1"/>
  <c r="U115" i="1"/>
  <c r="H116" i="1"/>
  <c r="L116" i="1"/>
  <c r="M116" i="1"/>
  <c r="N116" i="1"/>
  <c r="O116" i="1"/>
  <c r="T116" i="1"/>
  <c r="U116" i="1"/>
  <c r="L117" i="1"/>
  <c r="M117" i="1"/>
  <c r="N117" i="1"/>
  <c r="O117" i="1"/>
  <c r="T117" i="1"/>
  <c r="U117" i="1"/>
  <c r="H118" i="1"/>
  <c r="L118" i="1"/>
  <c r="M118" i="1"/>
  <c r="N118" i="1"/>
  <c r="O118" i="1"/>
  <c r="T118" i="1"/>
  <c r="U118" i="1"/>
  <c r="H119" i="1"/>
  <c r="L119" i="1"/>
  <c r="M119" i="1"/>
  <c r="N119" i="1"/>
  <c r="O119" i="1"/>
  <c r="T119" i="1"/>
  <c r="U119" i="1"/>
  <c r="L120" i="1"/>
  <c r="M120" i="1"/>
  <c r="N120" i="1"/>
  <c r="O120" i="1"/>
  <c r="T120" i="1"/>
  <c r="U120" i="1"/>
  <c r="L121" i="1"/>
  <c r="M121" i="1"/>
  <c r="N121" i="1"/>
  <c r="O121" i="1"/>
  <c r="T121" i="1"/>
  <c r="U121" i="1"/>
  <c r="H122" i="1"/>
  <c r="L122" i="1"/>
  <c r="M122" i="1"/>
  <c r="N122" i="1"/>
  <c r="O122" i="1"/>
  <c r="T122" i="1"/>
  <c r="U122" i="1"/>
  <c r="H123" i="1"/>
  <c r="L123" i="1"/>
  <c r="M123" i="1"/>
  <c r="N123" i="1"/>
  <c r="O123" i="1"/>
  <c r="T123" i="1"/>
  <c r="U123" i="1"/>
  <c r="L124" i="1"/>
  <c r="M124" i="1"/>
  <c r="N124" i="1"/>
  <c r="O124" i="1"/>
  <c r="T124" i="1"/>
  <c r="U124" i="1"/>
  <c r="H125" i="1"/>
  <c r="L125" i="1"/>
  <c r="M125" i="1"/>
  <c r="N125" i="1"/>
  <c r="O125" i="1"/>
  <c r="T125" i="1"/>
  <c r="U125" i="1"/>
  <c r="L126" i="1"/>
  <c r="M126" i="1"/>
  <c r="N126" i="1"/>
  <c r="O126" i="1"/>
  <c r="T126" i="1"/>
  <c r="U126" i="1"/>
  <c r="H127" i="1"/>
  <c r="L127" i="1"/>
  <c r="M127" i="1"/>
  <c r="N127" i="1"/>
  <c r="O127" i="1"/>
  <c r="T127" i="1"/>
  <c r="U127" i="1"/>
  <c r="H128" i="1"/>
  <c r="L128" i="1"/>
  <c r="M128" i="1"/>
  <c r="N128" i="1"/>
  <c r="O128" i="1"/>
  <c r="T128" i="1"/>
  <c r="U128" i="1"/>
  <c r="H129" i="1"/>
  <c r="L129" i="1"/>
  <c r="M129" i="1"/>
  <c r="N129" i="1"/>
  <c r="O129" i="1"/>
  <c r="T129" i="1"/>
  <c r="U129" i="1"/>
  <c r="H130" i="1"/>
  <c r="L130" i="1"/>
  <c r="M130" i="1"/>
  <c r="N130" i="1"/>
  <c r="O130" i="1"/>
  <c r="T130" i="1"/>
  <c r="U130" i="1"/>
  <c r="H131" i="1"/>
  <c r="L131" i="1"/>
  <c r="M131" i="1"/>
  <c r="N131" i="1"/>
  <c r="O131" i="1"/>
  <c r="T131" i="1"/>
  <c r="U131" i="1"/>
  <c r="H132" i="1"/>
  <c r="L132" i="1"/>
  <c r="M132" i="1"/>
  <c r="O132" i="1"/>
  <c r="T132" i="1"/>
  <c r="U132" i="1"/>
  <c r="H133" i="1"/>
  <c r="L133" i="1"/>
  <c r="M133" i="1"/>
  <c r="O133" i="1"/>
  <c r="T133" i="1"/>
  <c r="U133" i="1"/>
  <c r="H134" i="1"/>
  <c r="L134" i="1"/>
  <c r="M134" i="1"/>
  <c r="N134" i="1"/>
  <c r="O134" i="1"/>
  <c r="T134" i="1"/>
  <c r="U134" i="1"/>
  <c r="L135" i="1"/>
  <c r="M135" i="1"/>
  <c r="T135" i="1"/>
  <c r="U135" i="1"/>
  <c r="H136" i="1"/>
  <c r="L136" i="1"/>
  <c r="M136" i="1"/>
  <c r="N136" i="1"/>
  <c r="O136" i="1"/>
  <c r="T136" i="1"/>
  <c r="U136" i="1"/>
  <c r="H137" i="1"/>
  <c r="L137" i="1"/>
  <c r="M137" i="1"/>
  <c r="O137" i="1"/>
  <c r="T137" i="1"/>
  <c r="U137" i="1"/>
  <c r="H138" i="1"/>
  <c r="M138" i="1"/>
  <c r="N138" i="1"/>
  <c r="O138" i="1"/>
  <c r="T138" i="1"/>
  <c r="U138" i="1"/>
  <c r="H139" i="1"/>
  <c r="M139" i="1"/>
  <c r="N139" i="1"/>
  <c r="O139" i="1"/>
  <c r="T139" i="1"/>
  <c r="U139" i="1"/>
  <c r="H140" i="1"/>
  <c r="L140" i="1"/>
  <c r="M140" i="1"/>
  <c r="N140" i="1"/>
  <c r="O140" i="1"/>
  <c r="T140" i="1"/>
  <c r="U140" i="1"/>
  <c r="H141" i="1"/>
  <c r="L141" i="1"/>
  <c r="M141" i="1"/>
  <c r="N141" i="1"/>
  <c r="O141" i="1"/>
  <c r="T141" i="1"/>
  <c r="U141" i="1"/>
  <c r="H142" i="1"/>
  <c r="L142" i="1"/>
  <c r="M142" i="1"/>
  <c r="N142" i="1"/>
  <c r="O142" i="1"/>
  <c r="R142" i="1"/>
  <c r="T142" i="1"/>
  <c r="U142" i="1"/>
  <c r="H143" i="1"/>
  <c r="L143" i="1"/>
  <c r="M143" i="1"/>
  <c r="N143" i="1"/>
  <c r="O143" i="1"/>
  <c r="T143" i="1"/>
  <c r="U143" i="1"/>
  <c r="H144" i="1"/>
  <c r="L144" i="1"/>
  <c r="M144" i="1"/>
  <c r="N144" i="1"/>
  <c r="O144" i="1"/>
  <c r="T144" i="1"/>
  <c r="U144" i="1"/>
  <c r="H145" i="1"/>
  <c r="L145" i="1"/>
  <c r="M145" i="1"/>
  <c r="N145" i="1"/>
  <c r="O145" i="1"/>
  <c r="T145" i="1"/>
  <c r="U145" i="1"/>
  <c r="H146" i="1"/>
  <c r="L146" i="1"/>
  <c r="M146" i="1"/>
  <c r="N146" i="1"/>
  <c r="O146" i="1"/>
  <c r="T146" i="1"/>
  <c r="U146" i="1"/>
  <c r="H147" i="1"/>
  <c r="L147" i="1"/>
  <c r="M147" i="1"/>
  <c r="N147" i="1"/>
  <c r="O147" i="1"/>
  <c r="R147" i="1"/>
  <c r="T147" i="1"/>
  <c r="U147" i="1"/>
  <c r="H148" i="1"/>
  <c r="L148" i="1"/>
  <c r="M148" i="1"/>
  <c r="N148" i="1"/>
  <c r="O148" i="1"/>
  <c r="T148" i="1"/>
  <c r="U148" i="1"/>
  <c r="H149" i="1"/>
  <c r="L149" i="1"/>
  <c r="M149" i="1"/>
  <c r="N149" i="1"/>
  <c r="O149" i="1"/>
  <c r="T149" i="1"/>
  <c r="U149" i="1"/>
  <c r="L150" i="1"/>
  <c r="M150" i="1"/>
  <c r="N150" i="1"/>
  <c r="O150" i="1"/>
  <c r="T150" i="1"/>
  <c r="U150" i="1"/>
  <c r="H151" i="1"/>
  <c r="L151" i="1"/>
  <c r="M151" i="1"/>
  <c r="N151" i="1"/>
  <c r="O151" i="1"/>
  <c r="T151" i="1"/>
  <c r="U151" i="1"/>
  <c r="H152" i="1"/>
  <c r="L152" i="1"/>
  <c r="M152" i="1"/>
  <c r="N152" i="1"/>
  <c r="O152" i="1"/>
  <c r="T152" i="1"/>
  <c r="U152" i="1"/>
  <c r="H153" i="1"/>
  <c r="L153" i="1"/>
  <c r="M153" i="1"/>
  <c r="O153" i="1"/>
  <c r="T153" i="1"/>
  <c r="U153" i="1"/>
  <c r="H154" i="1"/>
  <c r="L154" i="1"/>
  <c r="M154" i="1"/>
  <c r="O154" i="1"/>
  <c r="T154" i="1"/>
  <c r="U154" i="1"/>
  <c r="H155" i="1"/>
  <c r="L155" i="1"/>
  <c r="M155" i="1"/>
  <c r="O155" i="1"/>
  <c r="T155" i="1"/>
  <c r="U155" i="1"/>
  <c r="H156" i="1"/>
  <c r="L156" i="1"/>
  <c r="M156" i="1"/>
  <c r="O156" i="1"/>
  <c r="T156" i="1"/>
  <c r="U156" i="1"/>
  <c r="H157" i="1"/>
  <c r="L157" i="1"/>
  <c r="M157" i="1"/>
  <c r="O157" i="1"/>
  <c r="T157" i="1"/>
  <c r="U157" i="1"/>
  <c r="L158" i="1"/>
  <c r="M158" i="1"/>
  <c r="N158" i="1"/>
  <c r="O158" i="1"/>
  <c r="T158" i="1"/>
  <c r="U158" i="1"/>
  <c r="H159" i="1"/>
  <c r="L159" i="1"/>
  <c r="M159" i="1"/>
  <c r="N159" i="1"/>
  <c r="O159" i="1"/>
  <c r="T159" i="1"/>
  <c r="U159" i="1"/>
  <c r="H160" i="1"/>
  <c r="L160" i="1"/>
  <c r="M160" i="1"/>
  <c r="N160" i="1"/>
  <c r="O160" i="1"/>
  <c r="T160" i="1"/>
  <c r="U160" i="1"/>
  <c r="H161" i="1"/>
  <c r="L161" i="1"/>
  <c r="M161" i="1"/>
  <c r="N161" i="1"/>
  <c r="O161" i="1"/>
  <c r="T161" i="1"/>
  <c r="U161" i="1"/>
  <c r="H162" i="1"/>
  <c r="L162" i="1"/>
  <c r="M162" i="1"/>
  <c r="N162" i="1"/>
  <c r="O162" i="1"/>
  <c r="T162" i="1"/>
  <c r="U162" i="1"/>
  <c r="L163" i="1"/>
  <c r="M163" i="1"/>
  <c r="N163" i="1"/>
  <c r="O163" i="1"/>
  <c r="T163" i="1"/>
  <c r="U163" i="1"/>
  <c r="H164" i="1"/>
  <c r="L164" i="1"/>
  <c r="M164" i="1"/>
  <c r="N164" i="1"/>
  <c r="O164" i="1"/>
  <c r="T164" i="1"/>
  <c r="U164" i="1"/>
  <c r="H165" i="1"/>
  <c r="L165" i="1"/>
  <c r="M165" i="1"/>
  <c r="N165" i="1"/>
  <c r="O165" i="1"/>
  <c r="R165" i="1"/>
  <c r="T165" i="1"/>
  <c r="U165" i="1"/>
  <c r="H166" i="1"/>
  <c r="L166" i="1"/>
  <c r="M166" i="1"/>
  <c r="N166" i="1"/>
  <c r="O166" i="1"/>
  <c r="T166" i="1"/>
  <c r="U166" i="1"/>
  <c r="H167" i="1"/>
  <c r="L167" i="1"/>
  <c r="M167" i="1"/>
  <c r="N167" i="1"/>
  <c r="O167" i="1"/>
  <c r="T167" i="1"/>
  <c r="U167" i="1"/>
  <c r="L168" i="1"/>
  <c r="M168" i="1"/>
  <c r="N168" i="1"/>
  <c r="O168" i="1"/>
  <c r="R168" i="1"/>
  <c r="T168" i="1"/>
  <c r="U168" i="1"/>
  <c r="L169" i="1"/>
  <c r="M169" i="1"/>
  <c r="N169" i="1"/>
  <c r="O169" i="1"/>
  <c r="T169" i="1"/>
  <c r="U169" i="1"/>
  <c r="L170" i="1"/>
  <c r="M170" i="1"/>
  <c r="N170" i="1"/>
  <c r="O170" i="1"/>
  <c r="T170" i="1"/>
  <c r="U170" i="1"/>
  <c r="L171" i="1"/>
  <c r="M171" i="1"/>
  <c r="N171" i="1"/>
  <c r="O171" i="1"/>
  <c r="T171" i="1"/>
  <c r="U171" i="1"/>
  <c r="L172" i="1"/>
  <c r="M172" i="1"/>
  <c r="N172" i="1"/>
  <c r="O172" i="1"/>
  <c r="T172" i="1"/>
  <c r="U172" i="1"/>
  <c r="H173" i="1"/>
  <c r="L173" i="1"/>
  <c r="M173" i="1"/>
  <c r="N173" i="1"/>
  <c r="O173" i="1"/>
  <c r="T173" i="1"/>
  <c r="U173" i="1"/>
  <c r="H174" i="1"/>
  <c r="L174" i="1"/>
  <c r="M174" i="1"/>
  <c r="N174" i="1"/>
  <c r="O174" i="1"/>
  <c r="T174" i="1"/>
  <c r="U174" i="1"/>
  <c r="H175" i="1"/>
  <c r="L175" i="1"/>
  <c r="M175" i="1"/>
  <c r="N175" i="1"/>
  <c r="O175" i="1"/>
  <c r="T175" i="1"/>
  <c r="U175" i="1"/>
  <c r="H176" i="1"/>
  <c r="L176" i="1"/>
  <c r="M176" i="1"/>
  <c r="N176" i="1"/>
  <c r="O176" i="1"/>
  <c r="T176" i="1"/>
  <c r="U176" i="1"/>
  <c r="H177" i="1"/>
  <c r="L177" i="1"/>
  <c r="M177" i="1"/>
  <c r="N177" i="1"/>
  <c r="O177" i="1"/>
  <c r="T177" i="1"/>
  <c r="U177" i="1"/>
  <c r="L178" i="1"/>
  <c r="M178" i="1"/>
  <c r="N178" i="1"/>
  <c r="O178" i="1"/>
  <c r="T178" i="1"/>
  <c r="U178" i="1"/>
  <c r="H179" i="1"/>
  <c r="L179" i="1"/>
  <c r="M179" i="1"/>
  <c r="N179" i="1"/>
  <c r="O179" i="1"/>
  <c r="T179" i="1"/>
  <c r="U179" i="1"/>
  <c r="L180" i="1"/>
  <c r="M180" i="1"/>
  <c r="N180" i="1"/>
  <c r="O180" i="1"/>
  <c r="T180" i="1"/>
  <c r="U180" i="1"/>
  <c r="L181" i="1"/>
  <c r="M181" i="1"/>
  <c r="N181" i="1"/>
  <c r="O181" i="1"/>
  <c r="T181" i="1"/>
  <c r="U181" i="1"/>
  <c r="H182" i="1"/>
  <c r="L182" i="1"/>
  <c r="M182" i="1"/>
  <c r="N182" i="1"/>
  <c r="O182" i="1"/>
  <c r="T182" i="1"/>
  <c r="U182" i="1"/>
  <c r="L183" i="1"/>
  <c r="M183" i="1"/>
  <c r="O183" i="1"/>
  <c r="T183" i="1"/>
  <c r="U183" i="1"/>
  <c r="L184" i="1"/>
  <c r="M184" i="1"/>
  <c r="N184" i="1"/>
  <c r="O184" i="1"/>
  <c r="T184" i="1"/>
  <c r="U184" i="1"/>
  <c r="L185" i="1"/>
  <c r="M185" i="1"/>
  <c r="N185" i="1"/>
  <c r="O185" i="1"/>
  <c r="T185" i="1"/>
  <c r="U185" i="1"/>
  <c r="L186" i="1"/>
  <c r="M186" i="1"/>
  <c r="O186" i="1"/>
  <c r="T186" i="1"/>
  <c r="U186" i="1"/>
  <c r="L187" i="1"/>
  <c r="M187" i="1"/>
  <c r="N187" i="1"/>
  <c r="O187" i="1"/>
  <c r="T187" i="1"/>
  <c r="U187" i="1"/>
  <c r="H188" i="1"/>
  <c r="L188" i="1"/>
  <c r="M188" i="1"/>
  <c r="N188" i="1"/>
  <c r="O188" i="1"/>
  <c r="T188" i="1"/>
  <c r="U188" i="1"/>
  <c r="L189" i="1"/>
  <c r="M189" i="1"/>
  <c r="O189" i="1"/>
  <c r="T189" i="1"/>
  <c r="U189" i="1"/>
  <c r="L190" i="1"/>
  <c r="M190" i="1"/>
  <c r="O190" i="1"/>
  <c r="T190" i="1"/>
  <c r="U190" i="1"/>
  <c r="H191" i="1"/>
  <c r="L191" i="1"/>
  <c r="M191" i="1"/>
  <c r="O191" i="1"/>
  <c r="T191" i="1"/>
  <c r="U191" i="1"/>
  <c r="L192" i="1"/>
  <c r="M192" i="1"/>
  <c r="O192" i="1"/>
  <c r="T192" i="1"/>
  <c r="U192" i="1"/>
  <c r="L193" i="1"/>
  <c r="M193" i="1"/>
  <c r="O193" i="1"/>
  <c r="T193" i="1"/>
  <c r="U193" i="1"/>
  <c r="H194" i="1"/>
  <c r="L194" i="1"/>
  <c r="M194" i="1"/>
  <c r="N194" i="1"/>
  <c r="O194" i="1"/>
  <c r="T194" i="1"/>
  <c r="U194" i="1"/>
  <c r="L195" i="1"/>
  <c r="M195" i="1"/>
  <c r="O195" i="1"/>
  <c r="T195" i="1"/>
  <c r="U195" i="1"/>
  <c r="H196" i="1"/>
  <c r="L196" i="1"/>
  <c r="M196" i="1"/>
  <c r="N196" i="1"/>
  <c r="O196" i="1"/>
  <c r="T196" i="1"/>
  <c r="U196" i="1"/>
  <c r="L197" i="1"/>
  <c r="M197" i="1"/>
  <c r="N197" i="1"/>
  <c r="O197" i="1"/>
  <c r="T197" i="1"/>
  <c r="U197" i="1"/>
  <c r="L198" i="1"/>
  <c r="M198" i="1"/>
  <c r="N198" i="1"/>
  <c r="O198" i="1"/>
  <c r="T198" i="1"/>
  <c r="U198" i="1"/>
  <c r="L199" i="1"/>
  <c r="M199" i="1"/>
  <c r="N199" i="1"/>
  <c r="O199" i="1"/>
  <c r="T199" i="1"/>
  <c r="U199" i="1"/>
  <c r="H200" i="1"/>
  <c r="L200" i="1"/>
  <c r="M200" i="1"/>
  <c r="N200" i="1"/>
  <c r="O200" i="1"/>
  <c r="T200" i="1"/>
  <c r="U200" i="1"/>
  <c r="H201" i="1"/>
  <c r="L201" i="1"/>
  <c r="M201" i="1"/>
  <c r="N201" i="1"/>
  <c r="O201" i="1"/>
  <c r="T201" i="1"/>
  <c r="U201" i="1"/>
  <c r="L202" i="1"/>
  <c r="M202" i="1"/>
  <c r="N202" i="1"/>
  <c r="O202" i="1"/>
  <c r="T202" i="1"/>
  <c r="U202" i="1"/>
  <c r="H203" i="1"/>
  <c r="L203" i="1"/>
  <c r="M203" i="1"/>
  <c r="N203" i="1"/>
  <c r="O203" i="1"/>
  <c r="T203" i="1"/>
  <c r="U203" i="1"/>
  <c r="L204" i="1"/>
  <c r="M204" i="1"/>
  <c r="N204" i="1"/>
  <c r="O204" i="1"/>
  <c r="T204" i="1"/>
  <c r="U204" i="1"/>
  <c r="L205" i="1"/>
  <c r="M205" i="1"/>
  <c r="N205" i="1"/>
  <c r="O205" i="1"/>
  <c r="T205" i="1"/>
  <c r="U205" i="1"/>
  <c r="H206" i="1"/>
  <c r="L206" i="1"/>
  <c r="M206" i="1"/>
  <c r="N206" i="1"/>
  <c r="O206" i="1"/>
  <c r="T206" i="1"/>
  <c r="U206" i="1"/>
  <c r="L207" i="1"/>
  <c r="M207" i="1"/>
  <c r="O207" i="1"/>
  <c r="T207" i="1"/>
  <c r="U207" i="1"/>
  <c r="L208" i="1"/>
  <c r="M208" i="1"/>
  <c r="O208" i="1"/>
  <c r="T208" i="1"/>
  <c r="U208" i="1"/>
  <c r="H209" i="1"/>
  <c r="L209" i="1"/>
  <c r="M209" i="1"/>
  <c r="N209" i="1"/>
  <c r="O209" i="1"/>
  <c r="T209" i="1"/>
  <c r="U209" i="1"/>
  <c r="H210" i="1"/>
  <c r="L210" i="1"/>
  <c r="M210" i="1"/>
  <c r="O210" i="1"/>
  <c r="T210" i="1"/>
  <c r="U210" i="1"/>
  <c r="H211" i="1"/>
  <c r="L211" i="1"/>
  <c r="M211" i="1"/>
  <c r="O211" i="1"/>
  <c r="T211" i="1"/>
  <c r="U211" i="1"/>
  <c r="L212" i="1"/>
  <c r="M212" i="1"/>
  <c r="N212" i="1"/>
  <c r="O212" i="1"/>
  <c r="T212" i="1"/>
  <c r="U212" i="1"/>
  <c r="H213" i="1"/>
  <c r="L213" i="1"/>
  <c r="M213" i="1"/>
  <c r="O213" i="1"/>
  <c r="T213" i="1"/>
  <c r="U213" i="1"/>
  <c r="L214" i="1"/>
  <c r="M214" i="1"/>
  <c r="N214" i="1"/>
  <c r="O214" i="1"/>
  <c r="T214" i="1"/>
  <c r="U214" i="1"/>
  <c r="H215" i="1"/>
  <c r="L215" i="1"/>
  <c r="M215" i="1"/>
  <c r="N215" i="1"/>
  <c r="O215" i="1"/>
  <c r="T215" i="1"/>
  <c r="U215" i="1"/>
  <c r="L216" i="1"/>
  <c r="M216" i="1"/>
  <c r="O216" i="1"/>
  <c r="T216" i="1"/>
  <c r="U216" i="1"/>
  <c r="L217" i="1"/>
  <c r="M217" i="1"/>
  <c r="N217" i="1"/>
  <c r="O217" i="1"/>
  <c r="T217" i="1"/>
  <c r="U217" i="1"/>
  <c r="L218" i="1"/>
  <c r="M218" i="1"/>
  <c r="N218" i="1"/>
  <c r="O218" i="1"/>
  <c r="T218" i="1"/>
  <c r="U218" i="1"/>
  <c r="L219" i="1"/>
  <c r="M219" i="1"/>
  <c r="O219" i="1"/>
  <c r="T219" i="1"/>
  <c r="U219" i="1"/>
  <c r="L220" i="1"/>
  <c r="M220" i="1"/>
  <c r="N220" i="1"/>
  <c r="O220" i="1"/>
  <c r="T220" i="1"/>
  <c r="U220" i="1"/>
  <c r="L221" i="1"/>
  <c r="M221" i="1"/>
  <c r="N221" i="1"/>
  <c r="O221" i="1"/>
  <c r="T221" i="1"/>
  <c r="U221" i="1"/>
  <c r="H222" i="1"/>
  <c r="L222" i="1"/>
  <c r="M222" i="1"/>
  <c r="N222" i="1"/>
  <c r="O222" i="1"/>
  <c r="T222" i="1"/>
  <c r="U222" i="1"/>
  <c r="H223" i="1"/>
  <c r="L223" i="1"/>
  <c r="M223" i="1"/>
  <c r="N223" i="1"/>
  <c r="O223" i="1"/>
  <c r="T223" i="1"/>
  <c r="U223" i="1"/>
  <c r="H224" i="1"/>
  <c r="L224" i="1"/>
  <c r="M224" i="1"/>
  <c r="N224" i="1"/>
  <c r="O224" i="1"/>
  <c r="T224" i="1"/>
  <c r="U224" i="1"/>
  <c r="H225" i="1"/>
  <c r="L225" i="1"/>
  <c r="M225" i="1"/>
  <c r="N225" i="1"/>
  <c r="O225" i="1"/>
  <c r="T225" i="1"/>
  <c r="U225" i="1"/>
  <c r="H226" i="1"/>
  <c r="M226" i="1"/>
  <c r="N226" i="1"/>
  <c r="O226" i="1"/>
  <c r="T226" i="1"/>
  <c r="U226" i="1"/>
  <c r="H227" i="1"/>
  <c r="L227" i="1"/>
  <c r="M227" i="1"/>
  <c r="N227" i="1"/>
  <c r="O227" i="1"/>
  <c r="T227" i="1"/>
  <c r="U227" i="1"/>
  <c r="L228" i="1"/>
  <c r="M228" i="1"/>
  <c r="N228" i="1"/>
  <c r="O228" i="1"/>
  <c r="T228" i="1"/>
  <c r="U228" i="1"/>
  <c r="H229" i="1"/>
  <c r="L229" i="1"/>
  <c r="M229" i="1"/>
  <c r="N229" i="1"/>
  <c r="O229" i="1"/>
  <c r="T229" i="1"/>
  <c r="U229" i="1"/>
  <c r="H230" i="1"/>
  <c r="L230" i="1"/>
  <c r="M230" i="1"/>
  <c r="N230" i="1"/>
  <c r="O230" i="1"/>
  <c r="T230" i="1"/>
  <c r="U230" i="1"/>
  <c r="H231" i="1"/>
  <c r="L231" i="1"/>
  <c r="M231" i="1"/>
  <c r="N231" i="1"/>
  <c r="O231" i="1"/>
  <c r="T231" i="1"/>
  <c r="U231" i="1"/>
  <c r="H232" i="1"/>
  <c r="L232" i="1"/>
  <c r="M232" i="1"/>
  <c r="N232" i="1"/>
  <c r="O232" i="1"/>
  <c r="T232" i="1"/>
  <c r="U232" i="1"/>
  <c r="H233" i="1"/>
  <c r="L233" i="1"/>
  <c r="M233" i="1"/>
  <c r="N233" i="1"/>
  <c r="O233" i="1"/>
  <c r="T233" i="1"/>
  <c r="U233" i="1"/>
  <c r="H234" i="1"/>
  <c r="L234" i="1"/>
  <c r="M234" i="1"/>
  <c r="N234" i="1"/>
  <c r="O234" i="1"/>
  <c r="T234" i="1"/>
  <c r="U234" i="1"/>
  <c r="L235" i="1"/>
  <c r="M235" i="1"/>
  <c r="N235" i="1"/>
  <c r="O235" i="1"/>
  <c r="T235" i="1"/>
  <c r="U235" i="1"/>
  <c r="L236" i="1"/>
  <c r="M236" i="1"/>
  <c r="N236" i="1"/>
  <c r="O236" i="1"/>
  <c r="T236" i="1"/>
  <c r="U236" i="1"/>
  <c r="H237" i="1"/>
  <c r="L237" i="1"/>
  <c r="M237" i="1"/>
  <c r="N237" i="1"/>
  <c r="O237" i="1"/>
  <c r="T237" i="1"/>
  <c r="U237" i="1"/>
  <c r="L238" i="1"/>
  <c r="M238" i="1"/>
  <c r="N238" i="1"/>
  <c r="O238" i="1"/>
  <c r="T238" i="1"/>
  <c r="U238" i="1"/>
  <c r="H239" i="1"/>
  <c r="L239" i="1"/>
  <c r="M239" i="1"/>
  <c r="N239" i="1"/>
  <c r="O239" i="1"/>
  <c r="T239" i="1"/>
  <c r="U239" i="1"/>
  <c r="L240" i="1"/>
  <c r="M240" i="1"/>
  <c r="N240" i="1"/>
  <c r="O240" i="1"/>
  <c r="T240" i="1"/>
  <c r="U240" i="1"/>
  <c r="H241" i="1"/>
  <c r="L241" i="1"/>
  <c r="M241" i="1"/>
  <c r="N241" i="1"/>
  <c r="O241" i="1"/>
  <c r="T241" i="1"/>
  <c r="U241" i="1"/>
  <c r="H242" i="1"/>
  <c r="L242" i="1"/>
  <c r="M242" i="1"/>
  <c r="N242" i="1"/>
  <c r="O242" i="1"/>
  <c r="T242" i="1"/>
  <c r="U242" i="1"/>
  <c r="L243" i="1"/>
  <c r="M243" i="1"/>
  <c r="N243" i="1"/>
  <c r="O243" i="1"/>
  <c r="R243" i="1"/>
  <c r="T243" i="1"/>
  <c r="U243" i="1"/>
  <c r="L244" i="1"/>
  <c r="M244" i="1"/>
  <c r="N244" i="1"/>
  <c r="O244" i="1"/>
  <c r="R244" i="1"/>
  <c r="T244" i="1"/>
  <c r="U244" i="1"/>
  <c r="L245" i="1"/>
  <c r="M245" i="1"/>
  <c r="N245" i="1"/>
  <c r="O245" i="1"/>
  <c r="T245" i="1"/>
  <c r="U245" i="1"/>
  <c r="H246" i="1"/>
  <c r="L246" i="1"/>
  <c r="M246" i="1"/>
  <c r="N246" i="1"/>
  <c r="O246" i="1"/>
  <c r="T246" i="1"/>
  <c r="U246" i="1"/>
  <c r="L247" i="1"/>
  <c r="M247" i="1"/>
  <c r="N247" i="1"/>
  <c r="O247" i="1"/>
  <c r="R247" i="1"/>
  <c r="T247" i="1"/>
  <c r="U247" i="1"/>
  <c r="L248" i="1"/>
  <c r="M248" i="1"/>
  <c r="N248" i="1"/>
  <c r="O248" i="1"/>
  <c r="T248" i="1"/>
  <c r="U248" i="1"/>
  <c r="H249" i="1"/>
  <c r="L249" i="1"/>
  <c r="M249" i="1"/>
  <c r="N249" i="1"/>
  <c r="O249" i="1"/>
  <c r="T249" i="1"/>
  <c r="U249" i="1"/>
  <c r="H250" i="1"/>
  <c r="L250" i="1"/>
  <c r="M250" i="1"/>
  <c r="N250" i="1"/>
  <c r="O250" i="1"/>
  <c r="T250" i="1"/>
  <c r="U250" i="1"/>
  <c r="H251" i="1"/>
  <c r="L251" i="1"/>
  <c r="M251" i="1"/>
  <c r="N251" i="1"/>
  <c r="O251" i="1"/>
  <c r="T251" i="1"/>
  <c r="U251" i="1"/>
  <c r="H252" i="1"/>
  <c r="L252" i="1"/>
  <c r="M252" i="1"/>
  <c r="N252" i="1"/>
  <c r="O252" i="1"/>
  <c r="T252" i="1"/>
  <c r="U252" i="1"/>
  <c r="L253" i="1"/>
  <c r="M253" i="1"/>
  <c r="N253" i="1"/>
  <c r="O253" i="1"/>
  <c r="T253" i="1"/>
  <c r="U253" i="1"/>
  <c r="L254" i="1"/>
  <c r="M254" i="1"/>
  <c r="N254" i="1"/>
  <c r="O254" i="1"/>
  <c r="T254" i="1"/>
  <c r="U254" i="1"/>
  <c r="L255" i="1"/>
  <c r="M255" i="1"/>
  <c r="N255" i="1"/>
  <c r="O255" i="1"/>
  <c r="T255" i="1"/>
  <c r="U255" i="1"/>
  <c r="L256" i="1"/>
  <c r="M256" i="1"/>
  <c r="N256" i="1"/>
  <c r="O256" i="1"/>
  <c r="T256" i="1"/>
  <c r="U256" i="1"/>
  <c r="L257" i="1"/>
  <c r="M257" i="1"/>
  <c r="N257" i="1"/>
  <c r="O257" i="1"/>
  <c r="T257" i="1"/>
  <c r="U257" i="1"/>
  <c r="H258" i="1"/>
  <c r="L258" i="1"/>
  <c r="M258" i="1"/>
  <c r="N258" i="1"/>
  <c r="O258" i="1"/>
  <c r="T258" i="1"/>
  <c r="U258" i="1"/>
  <c r="H259" i="1"/>
  <c r="M259" i="1"/>
  <c r="N259" i="1"/>
  <c r="O259" i="1"/>
  <c r="T259" i="1"/>
  <c r="U259" i="1"/>
  <c r="H260" i="1"/>
  <c r="L260" i="1"/>
  <c r="M260" i="1"/>
  <c r="N260" i="1"/>
  <c r="O260" i="1"/>
  <c r="T260" i="1"/>
  <c r="U260" i="1"/>
  <c r="L261" i="1"/>
  <c r="M261" i="1"/>
  <c r="N261" i="1"/>
  <c r="O261" i="1"/>
  <c r="T261" i="1"/>
  <c r="U261" i="1"/>
  <c r="H262" i="1"/>
  <c r="L262" i="1"/>
  <c r="M262" i="1"/>
  <c r="N262" i="1"/>
  <c r="O262" i="1"/>
  <c r="T262" i="1"/>
  <c r="U262" i="1"/>
  <c r="L263" i="1"/>
  <c r="M263" i="1"/>
  <c r="N263" i="1"/>
  <c r="O263" i="1"/>
  <c r="T263" i="1"/>
  <c r="U263" i="1"/>
  <c r="L264" i="1"/>
  <c r="M264" i="1"/>
  <c r="N264" i="1"/>
  <c r="O264" i="1"/>
  <c r="T264" i="1"/>
  <c r="U264" i="1"/>
  <c r="L265" i="1"/>
  <c r="M265" i="1"/>
  <c r="N265" i="1"/>
  <c r="O265" i="1"/>
  <c r="T265" i="1"/>
  <c r="U265" i="1"/>
  <c r="L266" i="1"/>
  <c r="M266" i="1"/>
  <c r="N266" i="1"/>
  <c r="O266" i="1"/>
  <c r="T266" i="1"/>
  <c r="U266" i="1"/>
  <c r="H267" i="1"/>
  <c r="L267" i="1"/>
  <c r="M267" i="1"/>
  <c r="N267" i="1"/>
  <c r="O267" i="1"/>
  <c r="T267" i="1"/>
  <c r="U267" i="1"/>
  <c r="H268" i="1"/>
  <c r="L268" i="1"/>
  <c r="M268" i="1"/>
  <c r="N268" i="1"/>
  <c r="O268" i="1"/>
  <c r="T268" i="1"/>
  <c r="U268" i="1"/>
  <c r="L269" i="1"/>
  <c r="M269" i="1"/>
  <c r="N269" i="1"/>
  <c r="O269" i="1"/>
  <c r="T269" i="1"/>
  <c r="U269" i="1"/>
  <c r="L270" i="1"/>
  <c r="M270" i="1"/>
  <c r="N270" i="1"/>
  <c r="O270" i="1"/>
  <c r="T270" i="1"/>
  <c r="U270" i="1"/>
  <c r="L271" i="1"/>
  <c r="M271" i="1"/>
  <c r="N271" i="1"/>
  <c r="O271" i="1"/>
  <c r="T271" i="1"/>
  <c r="U271" i="1"/>
  <c r="L272" i="1"/>
  <c r="M272" i="1"/>
  <c r="N272" i="1"/>
  <c r="O272" i="1"/>
  <c r="T272" i="1"/>
  <c r="U272" i="1"/>
  <c r="H273" i="1"/>
  <c r="L273" i="1"/>
  <c r="M273" i="1"/>
  <c r="N273" i="1"/>
  <c r="O273" i="1"/>
  <c r="T273" i="1"/>
  <c r="U273" i="1"/>
  <c r="L274" i="1"/>
  <c r="M274" i="1"/>
  <c r="N274" i="1"/>
  <c r="O274" i="1"/>
  <c r="T274" i="1"/>
  <c r="U274" i="1"/>
  <c r="L275" i="1"/>
  <c r="M275" i="1"/>
  <c r="N275" i="1"/>
  <c r="O275" i="1"/>
  <c r="T275" i="1"/>
  <c r="U275" i="1"/>
  <c r="L276" i="1"/>
  <c r="M276" i="1"/>
  <c r="N276" i="1"/>
  <c r="O276" i="1"/>
  <c r="T276" i="1"/>
  <c r="U276" i="1"/>
  <c r="H277" i="1"/>
  <c r="L277" i="1"/>
  <c r="M277" i="1"/>
  <c r="N277" i="1"/>
  <c r="O277" i="1"/>
  <c r="T277" i="1"/>
  <c r="U277" i="1"/>
  <c r="L278" i="1"/>
  <c r="M278" i="1"/>
  <c r="N278" i="1"/>
  <c r="O278" i="1"/>
  <c r="T278" i="1"/>
  <c r="U278" i="1"/>
  <c r="H279" i="1"/>
  <c r="L279" i="1"/>
  <c r="M279" i="1"/>
  <c r="N279" i="1"/>
  <c r="O279" i="1"/>
  <c r="T279" i="1"/>
  <c r="U279" i="1"/>
  <c r="H280" i="1"/>
  <c r="L280" i="1"/>
  <c r="M280" i="1"/>
  <c r="N280" i="1"/>
  <c r="O280" i="1"/>
  <c r="T280" i="1"/>
  <c r="U280" i="1"/>
  <c r="H281" i="1"/>
  <c r="L281" i="1"/>
  <c r="M281" i="1"/>
  <c r="N281" i="1"/>
  <c r="O281" i="1"/>
  <c r="T281" i="1"/>
  <c r="U281" i="1"/>
  <c r="H282" i="1"/>
  <c r="L282" i="1"/>
  <c r="M282" i="1"/>
  <c r="N282" i="1"/>
  <c r="O282" i="1"/>
  <c r="T282" i="1"/>
  <c r="U282" i="1"/>
  <c r="H283" i="1"/>
  <c r="L283" i="1"/>
  <c r="M283" i="1"/>
  <c r="N283" i="1"/>
  <c r="O283" i="1"/>
  <c r="T283" i="1"/>
  <c r="U283" i="1"/>
  <c r="H284" i="1"/>
  <c r="L284" i="1"/>
  <c r="M284" i="1"/>
  <c r="N284" i="1"/>
  <c r="O284" i="1"/>
  <c r="T284" i="1"/>
  <c r="U284" i="1"/>
  <c r="L285" i="1"/>
  <c r="M285" i="1"/>
  <c r="N285" i="1"/>
  <c r="O285" i="1"/>
  <c r="T285" i="1"/>
  <c r="U285" i="1"/>
  <c r="H286" i="1"/>
  <c r="L286" i="1"/>
  <c r="M286" i="1"/>
  <c r="N286" i="1"/>
  <c r="O286" i="1"/>
  <c r="T286" i="1"/>
  <c r="U286" i="1"/>
  <c r="H287" i="1"/>
  <c r="L287" i="1"/>
  <c r="M287" i="1"/>
  <c r="N287" i="1"/>
  <c r="O287" i="1"/>
  <c r="T287" i="1"/>
  <c r="U287" i="1"/>
  <c r="H288" i="1"/>
  <c r="L288" i="1"/>
  <c r="M288" i="1"/>
  <c r="N288" i="1"/>
  <c r="O288" i="1"/>
  <c r="T288" i="1"/>
  <c r="U288" i="1"/>
  <c r="L289" i="1"/>
  <c r="M289" i="1"/>
  <c r="N289" i="1"/>
  <c r="O289" i="1"/>
  <c r="T289" i="1"/>
  <c r="U289" i="1"/>
  <c r="L290" i="1"/>
  <c r="M290" i="1"/>
  <c r="N290" i="1"/>
  <c r="O290" i="1"/>
  <c r="T290" i="1"/>
  <c r="U290" i="1"/>
  <c r="H291" i="1"/>
  <c r="L291" i="1"/>
  <c r="M291" i="1"/>
  <c r="N291" i="1"/>
  <c r="O291" i="1"/>
  <c r="R291" i="1"/>
  <c r="T291" i="1"/>
  <c r="U291" i="1"/>
  <c r="H292" i="1"/>
  <c r="L292" i="1"/>
  <c r="M292" i="1"/>
  <c r="N292" i="1"/>
  <c r="O292" i="1"/>
  <c r="T292" i="1"/>
  <c r="U292" i="1"/>
  <c r="H293" i="1"/>
  <c r="L293" i="1"/>
  <c r="M293" i="1"/>
  <c r="N293" i="1"/>
  <c r="O293" i="1"/>
  <c r="T293" i="1"/>
  <c r="U293" i="1"/>
  <c r="H294" i="1"/>
  <c r="L294" i="1"/>
  <c r="M294" i="1"/>
  <c r="N294" i="1"/>
  <c r="O294" i="1"/>
  <c r="T294" i="1"/>
  <c r="U294" i="1"/>
  <c r="H295" i="1"/>
  <c r="L295" i="1"/>
  <c r="M295" i="1"/>
  <c r="N295" i="1"/>
  <c r="O295" i="1"/>
  <c r="T295" i="1"/>
  <c r="U295" i="1"/>
  <c r="H296" i="1"/>
  <c r="L296" i="1"/>
  <c r="M296" i="1"/>
  <c r="N296" i="1"/>
  <c r="O296" i="1"/>
  <c r="R296" i="1"/>
  <c r="T296" i="1"/>
  <c r="U296" i="1"/>
  <c r="L297" i="1"/>
  <c r="M297" i="1"/>
  <c r="N297" i="1"/>
  <c r="O297" i="1"/>
  <c r="T297" i="1"/>
  <c r="U297" i="1"/>
  <c r="L298" i="1"/>
  <c r="M298" i="1"/>
  <c r="N298" i="1"/>
  <c r="O298" i="1"/>
  <c r="T298" i="1"/>
  <c r="U298" i="1"/>
  <c r="H299" i="1"/>
  <c r="L299" i="1"/>
  <c r="M299" i="1"/>
  <c r="N299" i="1"/>
  <c r="O299" i="1"/>
  <c r="T299" i="1"/>
  <c r="U299" i="1"/>
  <c r="H300" i="1"/>
  <c r="L300" i="1"/>
  <c r="M300" i="1"/>
  <c r="N300" i="1"/>
  <c r="O300" i="1"/>
  <c r="T300" i="1"/>
  <c r="U300" i="1"/>
  <c r="H301" i="1"/>
  <c r="L301" i="1"/>
  <c r="M301" i="1"/>
  <c r="N301" i="1"/>
  <c r="O301" i="1"/>
  <c r="T301" i="1"/>
  <c r="U301" i="1"/>
  <c r="H302" i="1"/>
  <c r="L302" i="1"/>
  <c r="M302" i="1"/>
  <c r="N302" i="1"/>
  <c r="O302" i="1"/>
  <c r="T302" i="1"/>
  <c r="U302" i="1"/>
  <c r="H303" i="1"/>
  <c r="L303" i="1"/>
  <c r="M303" i="1"/>
  <c r="N303" i="1"/>
  <c r="O303" i="1"/>
  <c r="T303" i="1"/>
  <c r="U303" i="1"/>
  <c r="H304" i="1"/>
  <c r="L304" i="1"/>
  <c r="M304" i="1"/>
  <c r="N304" i="1"/>
  <c r="O304" i="1"/>
  <c r="T304" i="1"/>
  <c r="U304" i="1"/>
  <c r="H305" i="1"/>
  <c r="L305" i="1"/>
  <c r="M305" i="1"/>
  <c r="N305" i="1"/>
  <c r="O305" i="1"/>
  <c r="T305" i="1"/>
  <c r="U305" i="1"/>
  <c r="H306" i="1"/>
  <c r="L306" i="1"/>
  <c r="M306" i="1"/>
  <c r="N306" i="1"/>
  <c r="O306" i="1"/>
  <c r="T306" i="1"/>
  <c r="U306" i="1"/>
  <c r="H307" i="1"/>
  <c r="L307" i="1"/>
  <c r="M307" i="1"/>
  <c r="N307" i="1"/>
  <c r="O307" i="1"/>
  <c r="T307" i="1"/>
  <c r="U307" i="1"/>
  <c r="H308" i="1"/>
  <c r="L308" i="1"/>
  <c r="M308" i="1"/>
  <c r="N308" i="1"/>
  <c r="O308" i="1"/>
  <c r="T308" i="1"/>
  <c r="U308" i="1"/>
  <c r="H309" i="1"/>
  <c r="L309" i="1"/>
  <c r="M309" i="1"/>
  <c r="N309" i="1"/>
  <c r="O309" i="1"/>
  <c r="T309" i="1"/>
  <c r="U309" i="1"/>
  <c r="H310" i="1"/>
  <c r="L310" i="1"/>
  <c r="M310" i="1"/>
  <c r="N310" i="1"/>
  <c r="O310" i="1"/>
  <c r="T310" i="1"/>
  <c r="U310" i="1"/>
  <c r="H311" i="1"/>
  <c r="L311" i="1"/>
  <c r="M311" i="1"/>
  <c r="N311" i="1"/>
  <c r="O311" i="1"/>
  <c r="T311" i="1"/>
  <c r="U311" i="1"/>
  <c r="H312" i="1"/>
  <c r="L312" i="1"/>
  <c r="M312" i="1"/>
  <c r="N312" i="1"/>
  <c r="O312" i="1"/>
  <c r="T312" i="1"/>
  <c r="U312" i="1"/>
  <c r="H313" i="1"/>
  <c r="L313" i="1"/>
  <c r="M313" i="1"/>
  <c r="N313" i="1"/>
  <c r="O313" i="1"/>
  <c r="T313" i="1"/>
  <c r="U313" i="1"/>
  <c r="H314" i="1"/>
  <c r="L314" i="1"/>
  <c r="M314" i="1"/>
  <c r="N314" i="1"/>
  <c r="O314" i="1"/>
  <c r="T314" i="1"/>
  <c r="U314" i="1"/>
  <c r="H315" i="1"/>
  <c r="L315" i="1"/>
  <c r="M315" i="1"/>
  <c r="N315" i="1"/>
  <c r="O315" i="1"/>
  <c r="T315" i="1"/>
  <c r="U315" i="1"/>
  <c r="H316" i="1"/>
  <c r="L316" i="1"/>
  <c r="M316" i="1"/>
  <c r="N316" i="1"/>
  <c r="O316" i="1"/>
  <c r="T316" i="1"/>
  <c r="U316" i="1"/>
  <c r="H317" i="1"/>
  <c r="L317" i="1"/>
  <c r="M317" i="1"/>
  <c r="N317" i="1"/>
  <c r="O317" i="1"/>
  <c r="T317" i="1"/>
  <c r="U317" i="1"/>
  <c r="H318" i="1"/>
  <c r="L318" i="1"/>
  <c r="M318" i="1"/>
  <c r="N318" i="1"/>
  <c r="O318" i="1"/>
  <c r="T318" i="1"/>
  <c r="U318" i="1"/>
  <c r="H319" i="1"/>
  <c r="M319" i="1"/>
  <c r="O319" i="1"/>
  <c r="T319" i="1"/>
  <c r="U319" i="1"/>
  <c r="B30" i="5" l="1"/>
  <c r="B29" i="5"/>
  <c r="AD297" i="1" l="1"/>
  <c r="AD281" i="1" l="1"/>
  <c r="H38" i="4" l="1"/>
  <c r="A13" i="3" l="1"/>
  <c r="C12" i="3"/>
  <c r="B12" i="3"/>
  <c r="H8" i="4" l="1"/>
  <c r="H19" i="4"/>
  <c r="H30" i="4"/>
  <c r="H41" i="4"/>
  <c r="H53" i="4"/>
  <c r="H64" i="4"/>
  <c r="H75" i="4"/>
  <c r="H86" i="4"/>
  <c r="H97" i="4"/>
  <c r="H108" i="4"/>
  <c r="H119" i="4"/>
  <c r="H130" i="4"/>
  <c r="H141" i="4"/>
  <c r="H152" i="4"/>
  <c r="H163" i="4"/>
  <c r="H174" i="4"/>
  <c r="H185" i="4"/>
  <c r="H196" i="4"/>
  <c r="H207" i="4"/>
  <c r="H218" i="4"/>
  <c r="H229" i="4"/>
  <c r="H240" i="4"/>
  <c r="H251" i="4"/>
  <c r="H262" i="4"/>
  <c r="H273" i="4"/>
  <c r="H284" i="4"/>
  <c r="H197" i="4"/>
  <c r="H230" i="4"/>
  <c r="H252" i="4"/>
  <c r="H274" i="4"/>
  <c r="H253" i="4"/>
  <c r="H275" i="4"/>
  <c r="H2" i="4"/>
  <c r="H45" i="4"/>
  <c r="H90" i="4"/>
  <c r="H123" i="4"/>
  <c r="H167" i="4"/>
  <c r="H211" i="4"/>
  <c r="H255" i="4"/>
  <c r="H91" i="4"/>
  <c r="H113" i="4"/>
  <c r="H135" i="4"/>
  <c r="H157" i="4"/>
  <c r="H179" i="4"/>
  <c r="H201" i="4"/>
  <c r="H223" i="4"/>
  <c r="H245" i="4"/>
  <c r="H278" i="4"/>
  <c r="H61" i="4"/>
  <c r="H94" i="4"/>
  <c r="H127" i="4"/>
  <c r="H171" i="4"/>
  <c r="H204" i="4"/>
  <c r="H237" i="4"/>
  <c r="H259" i="4"/>
  <c r="H62" i="4"/>
  <c r="H128" i="4"/>
  <c r="H205" i="4"/>
  <c r="H260" i="4"/>
  <c r="H40" i="4"/>
  <c r="H85" i="4"/>
  <c r="H129" i="4"/>
  <c r="H206" i="4"/>
  <c r="H250" i="4"/>
  <c r="H9" i="4"/>
  <c r="H20" i="4"/>
  <c r="H31" i="4"/>
  <c r="H42" i="4"/>
  <c r="H54" i="4"/>
  <c r="H65" i="4"/>
  <c r="H76" i="4"/>
  <c r="H87" i="4"/>
  <c r="H98" i="4"/>
  <c r="H109" i="4"/>
  <c r="H120" i="4"/>
  <c r="H131" i="4"/>
  <c r="H142" i="4"/>
  <c r="H153" i="4"/>
  <c r="H164" i="4"/>
  <c r="H175" i="4"/>
  <c r="H186" i="4"/>
  <c r="H208" i="4"/>
  <c r="H219" i="4"/>
  <c r="H241" i="4"/>
  <c r="H263" i="4"/>
  <c r="H285" i="4"/>
  <c r="H286" i="4"/>
  <c r="H276" i="4"/>
  <c r="H23" i="4"/>
  <c r="H68" i="4"/>
  <c r="H112" i="4"/>
  <c r="H145" i="4"/>
  <c r="H189" i="4"/>
  <c r="H233" i="4"/>
  <c r="H277" i="4"/>
  <c r="H49" i="4"/>
  <c r="H13" i="4"/>
  <c r="H24" i="4"/>
  <c r="H35" i="4"/>
  <c r="H58" i="4"/>
  <c r="H69" i="4"/>
  <c r="H80" i="4"/>
  <c r="H102" i="4"/>
  <c r="H124" i="4"/>
  <c r="H146" i="4"/>
  <c r="H168" i="4"/>
  <c r="H190" i="4"/>
  <c r="H212" i="4"/>
  <c r="H234" i="4"/>
  <c r="H256" i="4"/>
  <c r="H72" i="4"/>
  <c r="H116" i="4"/>
  <c r="H160" i="4"/>
  <c r="H193" i="4"/>
  <c r="H226" i="4"/>
  <c r="H270" i="4"/>
  <c r="H17" i="4"/>
  <c r="H106" i="4"/>
  <c r="H150" i="4"/>
  <c r="H227" i="4"/>
  <c r="H239" i="4"/>
  <c r="H10" i="4"/>
  <c r="H21" i="4"/>
  <c r="H32" i="4"/>
  <c r="H43" i="4"/>
  <c r="H55" i="4"/>
  <c r="H66" i="4"/>
  <c r="H77" i="4"/>
  <c r="H88" i="4"/>
  <c r="H99" i="4"/>
  <c r="H110" i="4"/>
  <c r="H121" i="4"/>
  <c r="H132" i="4"/>
  <c r="H143" i="4"/>
  <c r="H154" i="4"/>
  <c r="H165" i="4"/>
  <c r="H176" i="4"/>
  <c r="H187" i="4"/>
  <c r="H198" i="4"/>
  <c r="H209" i="4"/>
  <c r="H220" i="4"/>
  <c r="H231" i="4"/>
  <c r="H242" i="4"/>
  <c r="H264" i="4"/>
  <c r="H254" i="4"/>
  <c r="H34" i="4"/>
  <c r="H79" i="4"/>
  <c r="H101" i="4"/>
  <c r="H156" i="4"/>
  <c r="H200" i="4"/>
  <c r="H244" i="4"/>
  <c r="H267" i="4"/>
  <c r="H28" i="4"/>
  <c r="H161" i="4"/>
  <c r="H11" i="4"/>
  <c r="H22" i="4"/>
  <c r="H33" i="4"/>
  <c r="H44" i="4"/>
  <c r="H56" i="4"/>
  <c r="H67" i="4"/>
  <c r="H78" i="4"/>
  <c r="H89" i="4"/>
  <c r="H100" i="4"/>
  <c r="H111" i="4"/>
  <c r="H122" i="4"/>
  <c r="H133" i="4"/>
  <c r="H144" i="4"/>
  <c r="H155" i="4"/>
  <c r="H166" i="4"/>
  <c r="H177" i="4"/>
  <c r="H188" i="4"/>
  <c r="H199" i="4"/>
  <c r="H210" i="4"/>
  <c r="H221" i="4"/>
  <c r="H232" i="4"/>
  <c r="H243" i="4"/>
  <c r="H265" i="4"/>
  <c r="H57" i="4"/>
  <c r="H134" i="4"/>
  <c r="H178" i="4"/>
  <c r="H222" i="4"/>
  <c r="H266" i="4"/>
  <c r="H12" i="4"/>
  <c r="H138" i="4"/>
  <c r="H248" i="4"/>
  <c r="H51" i="4"/>
  <c r="H172" i="4"/>
  <c r="H282" i="4"/>
  <c r="H52" i="4"/>
  <c r="H162" i="4"/>
  <c r="H272" i="4"/>
  <c r="H46" i="4"/>
  <c r="H39" i="4"/>
  <c r="H194" i="4"/>
  <c r="H140" i="4"/>
  <c r="H261" i="4"/>
  <c r="H3" i="4"/>
  <c r="H14" i="4"/>
  <c r="H25" i="4"/>
  <c r="H36" i="4"/>
  <c r="H47" i="4"/>
  <c r="H59" i="4"/>
  <c r="H70" i="4"/>
  <c r="H81" i="4"/>
  <c r="H92" i="4"/>
  <c r="H103" i="4"/>
  <c r="H114" i="4"/>
  <c r="H125" i="4"/>
  <c r="H136" i="4"/>
  <c r="H147" i="4"/>
  <c r="H158" i="4"/>
  <c r="H169" i="4"/>
  <c r="H180" i="4"/>
  <c r="H191" i="4"/>
  <c r="H202" i="4"/>
  <c r="H213" i="4"/>
  <c r="H224" i="4"/>
  <c r="H235" i="4"/>
  <c r="H246" i="4"/>
  <c r="H257" i="4"/>
  <c r="H268" i="4"/>
  <c r="H279" i="4"/>
  <c r="H4" i="4"/>
  <c r="H15" i="4"/>
  <c r="H26" i="4"/>
  <c r="H37" i="4"/>
  <c r="H48" i="4"/>
  <c r="H60" i="4"/>
  <c r="H71" i="4"/>
  <c r="H82" i="4"/>
  <c r="H93" i="4"/>
  <c r="H104" i="4"/>
  <c r="H115" i="4"/>
  <c r="H126" i="4"/>
  <c r="H137" i="4"/>
  <c r="H148" i="4"/>
  <c r="H159" i="4"/>
  <c r="H170" i="4"/>
  <c r="H181" i="4"/>
  <c r="H192" i="4"/>
  <c r="H203" i="4"/>
  <c r="H214" i="4"/>
  <c r="H225" i="4"/>
  <c r="H247" i="4"/>
  <c r="H258" i="4"/>
  <c r="H269" i="4"/>
  <c r="H280" i="4"/>
  <c r="H16" i="4"/>
  <c r="H27" i="4"/>
  <c r="H50" i="4"/>
  <c r="H83" i="4"/>
  <c r="H105" i="4"/>
  <c r="H149" i="4"/>
  <c r="H182" i="4"/>
  <c r="H215" i="4"/>
  <c r="H281" i="4"/>
  <c r="H6" i="4"/>
  <c r="H84" i="4"/>
  <c r="H117" i="4"/>
  <c r="H216" i="4"/>
  <c r="H271" i="4"/>
  <c r="H7" i="4"/>
  <c r="H63" i="4"/>
  <c r="H107" i="4"/>
  <c r="H184" i="4"/>
  <c r="H228" i="4"/>
  <c r="H236" i="4"/>
  <c r="H73" i="4"/>
  <c r="H183" i="4"/>
  <c r="H249" i="4"/>
  <c r="H29" i="4"/>
  <c r="H96" i="4"/>
  <c r="H151" i="4"/>
  <c r="H195" i="4"/>
  <c r="H283" i="4"/>
  <c r="H5" i="4"/>
  <c r="H95" i="4"/>
  <c r="H139" i="4"/>
  <c r="H238" i="4"/>
  <c r="H18" i="4"/>
  <c r="H74" i="4"/>
  <c r="H118" i="4"/>
  <c r="H173" i="4"/>
  <c r="H217" i="4"/>
  <c r="K3" i="3" l="1"/>
  <c r="L3" i="3" s="1"/>
  <c r="K2" i="3" l="1"/>
  <c r="J2" i="3"/>
  <c r="J3" i="3" s="1"/>
  <c r="J4" i="3" s="1"/>
  <c r="L2" i="3" l="1"/>
  <c r="L12" i="3" s="1"/>
  <c r="K12" i="3"/>
  <c r="AD95" i="1" l="1"/>
  <c r="AD253" i="1"/>
  <c r="AD230" i="1"/>
  <c r="AD221" i="1"/>
  <c r="G2" i="3"/>
  <c r="AD235" i="1" l="1"/>
  <c r="AD254" i="1"/>
  <c r="AD270" i="1"/>
  <c r="AD274" i="1"/>
  <c r="AD261" i="1"/>
  <c r="H2" i="3"/>
  <c r="I2" i="3" l="1"/>
  <c r="D2" i="3" l="1"/>
  <c r="E2" i="3"/>
  <c r="F2" i="3" l="1"/>
  <c r="D3" i="3" l="1"/>
  <c r="H3" i="3"/>
  <c r="H12" i="3" s="1"/>
  <c r="G3" i="3" l="1"/>
  <c r="E3" i="3"/>
  <c r="I3" i="3"/>
  <c r="I12" i="3" s="1"/>
  <c r="F3" i="3" l="1"/>
  <c r="F12" i="3" s="1"/>
  <c r="E12" i="3"/>
  <c r="M3" i="3"/>
  <c r="M1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JT Thomas</author>
    <author>tc={7BA1F470-C5AE-435B-8165-029CA2938714}</author>
  </authors>
  <commentList>
    <comment ref="R155" authorId="0" shapeId="0" xr:uid="{645E9D12-B933-4659-9E0B-77377AD253D1}">
      <text>
        <r>
          <rPr>
            <sz val="11"/>
            <color theme="1"/>
            <rFont val="Aptos Narrow"/>
            <family val="2"/>
            <scheme val="minor"/>
          </rPr>
          <t>JT Thomas:
This is the remaining 48 barrels carried over from September to complete the 1200 LSS. The total overage of the 73-18-00-09 mashbill for LSS was 209 barrels and put in WHK stock -lot#24J01A &amp; lot# 24J02E.</t>
        </r>
      </text>
    </comment>
    <comment ref="R167" authorId="0" shapeId="0" xr:uid="{1A05B64B-882D-426A-B528-13DB813862F4}">
      <text>
        <r>
          <rPr>
            <sz val="11"/>
            <color theme="1"/>
            <rFont val="Aptos Narrow"/>
            <family val="2"/>
            <scheme val="minor"/>
          </rPr>
          <t>JT Thomas:
12 of 13 24J04B's transferred to be combined with 88 PAW 24KO1A inventory. Purpose is to meet the 100-barrel target requirement for PAW mashbill per contract. Mashbill and barrel specs confirmed. 1 24J04B remaining in WHK inventory.</t>
        </r>
      </text>
    </comment>
    <comment ref="P190" authorId="0" shapeId="0" xr:uid="{ED1CD2C1-9863-44FD-9E55-AE6B78127486}">
      <text>
        <r>
          <rPr>
            <sz val="11"/>
            <color theme="1"/>
            <rFont val="Aptos Narrow"/>
            <family val="2"/>
            <scheme val="minor"/>
          </rPr>
          <t xml:space="preserve">JT Thomas:
Barrels #55 through #212 plus #900 are the Speyside Test barrels. </t>
        </r>
      </text>
    </comment>
    <comment ref="P191" authorId="0" shapeId="0" xr:uid="{AE9E686F-3C67-4DFC-B9F9-7CDABEE09248}">
      <text>
        <r>
          <rPr>
            <sz val="11"/>
            <color theme="1"/>
            <rFont val="Aptos Narrow"/>
            <family val="2"/>
            <scheme val="minor"/>
          </rPr>
          <t xml:space="preserve">JT Thomas:
Barrels #213 through #342 are the Speyside Test Barrels. </t>
        </r>
      </text>
    </comment>
    <comment ref="P199" authorId="0" shapeId="0" xr:uid="{5290C177-CAC7-4F5A-B83C-4743F8ED904B}">
      <text>
        <r>
          <rPr>
            <sz val="11"/>
            <color theme="1"/>
            <rFont val="Aptos Narrow"/>
            <family val="2"/>
            <scheme val="minor"/>
          </rPr>
          <t>JT Thomas:
Barrels #4 through #218 are Speyside Test Barrels.</t>
        </r>
      </text>
    </comment>
    <comment ref="P200" authorId="0" shapeId="0" xr:uid="{AF7ED47D-1405-45AE-BDC8-DC81CA49F33A}">
      <text>
        <r>
          <rPr>
            <sz val="11"/>
            <color theme="1"/>
            <rFont val="Aptos Narrow"/>
            <family val="2"/>
            <scheme val="minor"/>
          </rPr>
          <t xml:space="preserve">JT Thomas:
Barrels #1 - #73 are Speyside Test Barrels. </t>
        </r>
      </text>
    </comment>
    <comment ref="R227" authorId="0" shapeId="0" xr:uid="{1F4BC095-59A9-4411-882A-C63C7AECF308}">
      <text>
        <r>
          <rPr>
            <sz val="11"/>
            <color theme="1"/>
            <rFont val="Aptos Narrow"/>
            <family val="2"/>
            <scheme val="minor"/>
          </rPr>
          <t xml:space="preserve">JT Thomas:
There were 12 barrels transferred from the 24J04B Whiskey House Inventory to meet the 100 barrel target required for this customer. The distillery was short on production, so the transfer was needed to meet the customer requirement. </t>
        </r>
      </text>
    </comment>
    <comment ref="R249" authorId="0" shapeId="0" xr:uid="{D4F5E18B-0943-4FAB-9516-BB99ADD25B9C}">
      <text>
        <r>
          <rPr>
            <sz val="11"/>
            <color theme="1"/>
            <rFont val="Aptos Narrow"/>
            <family val="2"/>
            <scheme val="minor"/>
          </rPr>
          <t>JT Thomas:
Originally 199 barrels of 24K12B
177 barrels transferred to DWL to become the "D" lot aka 24K12D, thus 22 barrels remained in "B" lot.</t>
        </r>
      </text>
    </comment>
    <comment ref="D260" authorId="0" shapeId="0" xr:uid="{AA4AA20D-E62F-43C1-8596-E5609B3C6AF2}">
      <text>
        <r>
          <rPr>
            <sz val="11"/>
            <color rgb="FF000000"/>
            <rFont val="Aptos Narrow"/>
            <family val="2"/>
          </rPr>
          <t xml:space="preserve">JT Thomas:
</t>
        </r>
        <r>
          <rPr>
            <sz val="11"/>
            <color rgb="FF000000"/>
            <rFont val="Aptos Narrow"/>
            <family val="2"/>
          </rPr>
          <t>Koetter Construction Barrel- #208 located on first floor, tier 53, Rick A, position 18.</t>
        </r>
      </text>
    </comment>
    <comment ref="R263" authorId="0" shapeId="0" xr:uid="{B9962F6B-DB70-4E6B-B618-0B511B23964C}">
      <text>
        <r>
          <rPr>
            <sz val="11"/>
            <color theme="1"/>
            <rFont val="Aptos Narrow"/>
            <family val="2"/>
            <scheme val="minor"/>
          </rPr>
          <t>JT Thomas:
#525 was reworked from 24K20C. The former 24K20C barrel was #27% in tier whse #2, tier 72, Rick A, position #2. It is now in the same location as 24K18C #525.</t>
        </r>
      </text>
    </comment>
    <comment ref="C316" authorId="1" shapeId="0" xr:uid="{7BA1F470-C5AE-435B-8165-029CA2938714}">
      <text>
        <t>[Threaded comment]
Your version of Excel allows you to read this threaded comment; however, any edits to it will get removed if the file is opened in a newer version of Excel. Learn more: https://go.microsoft.com/fwlink/?linkid=870924
Comment:
    For Chicken Cock
Reply:
    Grain &amp; Barrel Code?</t>
      </text>
    </comment>
  </commentList>
</comments>
</file>

<file path=xl/sharedStrings.xml><?xml version="1.0" encoding="utf-8"?>
<sst xmlns="http://schemas.openxmlformats.org/spreadsheetml/2006/main" count="3911" uniqueCount="755">
  <si>
    <t xml:space="preserve">Date: </t>
  </si>
  <si>
    <t>Mashbill</t>
  </si>
  <si>
    <t>LOT #</t>
  </si>
  <si>
    <t>Tank of Origin:</t>
  </si>
  <si>
    <r>
      <t>Proof (Initial): P</t>
    </r>
    <r>
      <rPr>
        <vertAlign val="subscript"/>
        <sz val="14"/>
        <color theme="1"/>
        <rFont val="Aptos Narrow"/>
        <family val="2"/>
        <scheme val="minor"/>
      </rPr>
      <t>di</t>
    </r>
  </si>
  <si>
    <t>Proofing Tank:</t>
  </si>
  <si>
    <r>
      <t>Total  Weight: lbs - W</t>
    </r>
    <r>
      <rPr>
        <vertAlign val="subscript"/>
        <sz val="14"/>
        <color theme="1"/>
        <rFont val="Aptos Narrow"/>
        <family val="2"/>
        <scheme val="minor"/>
      </rPr>
      <t>t</t>
    </r>
  </si>
  <si>
    <t>Whiskey Type:</t>
  </si>
  <si>
    <t>Mash Bill:</t>
  </si>
  <si>
    <r>
      <t>Bbl Entry Proof: P</t>
    </r>
    <r>
      <rPr>
        <vertAlign val="subscript"/>
        <sz val="16"/>
        <color theme="1"/>
        <rFont val="Aptos Narrow"/>
        <family val="2"/>
        <scheme val="minor"/>
      </rPr>
      <t>di</t>
    </r>
  </si>
  <si>
    <r>
      <t>Density (final): D</t>
    </r>
    <r>
      <rPr>
        <vertAlign val="subscript"/>
        <sz val="14"/>
        <color theme="1"/>
        <rFont val="Aptos Narrow"/>
        <family val="2"/>
        <scheme val="minor"/>
      </rPr>
      <t>f</t>
    </r>
  </si>
  <si>
    <t>Total Volume: WG</t>
  </si>
  <si>
    <t>Total PGs</t>
  </si>
  <si>
    <t>Total WGs</t>
  </si>
  <si>
    <t>Bbl OEM:</t>
  </si>
  <si>
    <t>Bbl Type:</t>
  </si>
  <si>
    <t>Bbl Total:</t>
  </si>
  <si>
    <t>Confirmed</t>
  </si>
  <si>
    <t>Avg. Bbl Fill: by PG</t>
  </si>
  <si>
    <t>Avg. Bbl Fill: by WG</t>
  </si>
  <si>
    <t>PG Losses:</t>
  </si>
  <si>
    <t>Total PGs by Recipe</t>
  </si>
  <si>
    <t>Total Ferms:</t>
  </si>
  <si>
    <t>Avg PGs / Ferm</t>
  </si>
  <si>
    <t>Grain - lbs / Ferm</t>
  </si>
  <si>
    <t>Grain - lbs / PG</t>
  </si>
  <si>
    <t>Standard Yield (PGs/56#)</t>
  </si>
  <si>
    <t>WHK_WHSE#:</t>
  </si>
  <si>
    <t xml:space="preserve">Notes: </t>
  </si>
  <si>
    <t>Barrel Item Number</t>
  </si>
  <si>
    <t>FG Item Number</t>
  </si>
  <si>
    <t>Production Order ID</t>
  </si>
  <si>
    <t>WHK 74-18-00-08</t>
  </si>
  <si>
    <t>24G15A.01</t>
  </si>
  <si>
    <t>Blend Tank 02</t>
  </si>
  <si>
    <t>Rye Bourbon</t>
  </si>
  <si>
    <t>ISC</t>
  </si>
  <si>
    <t>RC-53</t>
  </si>
  <si>
    <t>507.7#</t>
  </si>
  <si>
    <t>WHK_WHSE_01</t>
  </si>
  <si>
    <t>JUICE LOSS  of two barrels</t>
  </si>
  <si>
    <t>WSC 74-18-00-08</t>
  </si>
  <si>
    <t>24G16A.01</t>
  </si>
  <si>
    <t>Blend Tank 01</t>
  </si>
  <si>
    <t>24G16B.02</t>
  </si>
  <si>
    <t>Cistern Tank 01</t>
  </si>
  <si>
    <t>WVGBC</t>
  </si>
  <si>
    <t>24G17A.01</t>
  </si>
  <si>
    <t>24G18A.01</t>
  </si>
  <si>
    <t>24G19A.01</t>
  </si>
  <si>
    <t>24G19B.01</t>
  </si>
  <si>
    <t>24G22A.01</t>
  </si>
  <si>
    <t>24G22B.01</t>
  </si>
  <si>
    <t>24G23A.01</t>
  </si>
  <si>
    <t>24G23B.10</t>
  </si>
  <si>
    <t>24G24A.10</t>
  </si>
  <si>
    <t>24G24B.10</t>
  </si>
  <si>
    <t>24G25A.10</t>
  </si>
  <si>
    <t>24G25B.10</t>
  </si>
  <si>
    <t>24G26A.10</t>
  </si>
  <si>
    <t>24G26B.10</t>
  </si>
  <si>
    <t>24G29A.10</t>
  </si>
  <si>
    <t>24G29B.10</t>
  </si>
  <si>
    <t>24G30A.10</t>
  </si>
  <si>
    <t>RSP 75-21-00-04</t>
  </si>
  <si>
    <t>24G30B.01</t>
  </si>
  <si>
    <t>Cistern Tank 02</t>
  </si>
  <si>
    <t>24G31A.01</t>
  </si>
  <si>
    <t>24G31B.01</t>
  </si>
  <si>
    <t>24H01A.01</t>
  </si>
  <si>
    <t>24H01B.01</t>
  </si>
  <si>
    <t>24H02A.10</t>
  </si>
  <si>
    <t>24H02A.01</t>
  </si>
  <si>
    <t>24H02B.01</t>
  </si>
  <si>
    <t>24H02C.01</t>
  </si>
  <si>
    <t>24H05A.10</t>
  </si>
  <si>
    <t>24H05B.10</t>
  </si>
  <si>
    <t>24H05C.10</t>
  </si>
  <si>
    <t>24H06A.01</t>
  </si>
  <si>
    <t>24H06B.10</t>
  </si>
  <si>
    <t>24H07A.10</t>
  </si>
  <si>
    <t>JBM 75-21-00-04</t>
  </si>
  <si>
    <t>24H07B.10</t>
  </si>
  <si>
    <t>x</t>
  </si>
  <si>
    <t>24H08A.10</t>
  </si>
  <si>
    <t>24H08B.10</t>
  </si>
  <si>
    <t>24H09A.10</t>
  </si>
  <si>
    <t>24H09B.10</t>
  </si>
  <si>
    <t>24H12A.10</t>
  </si>
  <si>
    <t>24H12B.10</t>
  </si>
  <si>
    <t>24H13A.10</t>
  </si>
  <si>
    <t>24H13B.01</t>
  </si>
  <si>
    <t>WVBC</t>
  </si>
  <si>
    <t>24H13C.01</t>
  </si>
  <si>
    <t>24H14A.01</t>
  </si>
  <si>
    <t>24H14B.10</t>
  </si>
  <si>
    <t>24H15A.10</t>
  </si>
  <si>
    <t>24H16A.10</t>
  </si>
  <si>
    <t>24H16B.10</t>
  </si>
  <si>
    <t>24H16C.10</t>
  </si>
  <si>
    <t xml:space="preserve">ISC </t>
  </si>
  <si>
    <t>ULP 75-21-00-04</t>
  </si>
  <si>
    <t>24H16D.10</t>
  </si>
  <si>
    <t>X</t>
  </si>
  <si>
    <t>24H19A.10</t>
  </si>
  <si>
    <t>Select Tank</t>
  </si>
  <si>
    <t>Distillate Tanks</t>
  </si>
  <si>
    <t>24H19B.10</t>
  </si>
  <si>
    <t>24H20A.10</t>
  </si>
  <si>
    <t>24H20B.10</t>
  </si>
  <si>
    <t>24H20C.10</t>
  </si>
  <si>
    <t>24H21A.01</t>
  </si>
  <si>
    <t>24H21B.01</t>
  </si>
  <si>
    <t>MHS 75-21-00-04</t>
  </si>
  <si>
    <t>24H22A.01</t>
  </si>
  <si>
    <t>24H22B.01</t>
  </si>
  <si>
    <t>24H23A.1</t>
  </si>
  <si>
    <t>LQD 75-21-00-04</t>
  </si>
  <si>
    <t>24H23B</t>
  </si>
  <si>
    <t>24H23C</t>
  </si>
  <si>
    <t>24H26A</t>
  </si>
  <si>
    <t>24H26B</t>
  </si>
  <si>
    <t>WCL 75-15-00-10</t>
  </si>
  <si>
    <t>24H27A</t>
  </si>
  <si>
    <t>24H27B</t>
  </si>
  <si>
    <t>24H28A</t>
  </si>
  <si>
    <t>24H29D</t>
  </si>
  <si>
    <t>24H30B</t>
  </si>
  <si>
    <t>HNW 51-39-00-10</t>
  </si>
  <si>
    <t>24H28B</t>
  </si>
  <si>
    <t>ISC-Coop select</t>
  </si>
  <si>
    <t>24H28C</t>
  </si>
  <si>
    <t>24H29A</t>
  </si>
  <si>
    <t>BHK 60-40-00-00</t>
  </si>
  <si>
    <t>24H30A</t>
  </si>
  <si>
    <t>BHK 00-95-00-05</t>
  </si>
  <si>
    <t>24H30D</t>
  </si>
  <si>
    <t>Rye Whiskey</t>
  </si>
  <si>
    <t>WHK 75-21-00-04</t>
  </si>
  <si>
    <t>24H21B</t>
  </si>
  <si>
    <t>WHK 51-39-00-10</t>
  </si>
  <si>
    <t>24H29B</t>
  </si>
  <si>
    <t>24H29C</t>
  </si>
  <si>
    <t>WHK 75-15-00-10</t>
  </si>
  <si>
    <t>24H30C</t>
  </si>
  <si>
    <t>WHK 00-95-00-05</t>
  </si>
  <si>
    <t>24I02A</t>
  </si>
  <si>
    <t>Springfield , KY</t>
  </si>
  <si>
    <t>Barrel Transfer to Springfield KY</t>
  </si>
  <si>
    <t>24I02B</t>
  </si>
  <si>
    <t>LQD 60-36-00-04</t>
  </si>
  <si>
    <t>24I02C</t>
  </si>
  <si>
    <t>24I03A</t>
  </si>
  <si>
    <t>24I03B</t>
  </si>
  <si>
    <t>24I03C</t>
  </si>
  <si>
    <t>LQD 60-00-36-04</t>
  </si>
  <si>
    <t>24I04A</t>
  </si>
  <si>
    <t>Wheated Bourbon</t>
  </si>
  <si>
    <t>24I04C</t>
  </si>
  <si>
    <t>24I05A</t>
  </si>
  <si>
    <t>24I05B</t>
  </si>
  <si>
    <t>BHK 72-00-18-10</t>
  </si>
  <si>
    <t>24I04B</t>
  </si>
  <si>
    <t>ABT 74-00-18-08</t>
  </si>
  <si>
    <t>24I05C</t>
  </si>
  <si>
    <t>24I06A</t>
  </si>
  <si>
    <t>24I09A</t>
  </si>
  <si>
    <t>ABT 70-21-00-09</t>
  </si>
  <si>
    <t>24I09B</t>
  </si>
  <si>
    <t>24I09C</t>
  </si>
  <si>
    <t>24I10A</t>
  </si>
  <si>
    <t>24I10B</t>
  </si>
  <si>
    <t>24I10C</t>
  </si>
  <si>
    <t>ABT 74-18-00-08</t>
  </si>
  <si>
    <t>24I11B</t>
  </si>
  <si>
    <t>24I12A</t>
  </si>
  <si>
    <t>24I13A</t>
  </si>
  <si>
    <t>24I13B</t>
  </si>
  <si>
    <t>24I13C</t>
  </si>
  <si>
    <t>24I16A</t>
  </si>
  <si>
    <t>FDP 78-10-00-12</t>
  </si>
  <si>
    <t>24I16D</t>
  </si>
  <si>
    <t>24I17A</t>
  </si>
  <si>
    <t>24I17B</t>
  </si>
  <si>
    <t>24I17C</t>
  </si>
  <si>
    <t>24I18A</t>
  </si>
  <si>
    <t>24I18B</t>
  </si>
  <si>
    <t>WGS 60-36-00-04</t>
  </si>
  <si>
    <t>24I18C</t>
  </si>
  <si>
    <t>24I19A</t>
  </si>
  <si>
    <t>24I19B</t>
  </si>
  <si>
    <t>OTS 75-21-00-04</t>
  </si>
  <si>
    <t>24I19C</t>
  </si>
  <si>
    <t>24I20A</t>
  </si>
  <si>
    <t>24I20B</t>
  </si>
  <si>
    <t>24I20C</t>
  </si>
  <si>
    <t>24I23B</t>
  </si>
  <si>
    <t>24I23C</t>
  </si>
  <si>
    <t>24I23D</t>
  </si>
  <si>
    <t>OTS 80-10-00-10</t>
  </si>
  <si>
    <t>24I23A</t>
  </si>
  <si>
    <t>24I24B</t>
  </si>
  <si>
    <t>24I25A</t>
  </si>
  <si>
    <t>24I25B</t>
  </si>
  <si>
    <t>24I26A</t>
  </si>
  <si>
    <t>24I26B</t>
  </si>
  <si>
    <t>LSS 73-18-00-09</t>
  </si>
  <si>
    <t>24I27B</t>
  </si>
  <si>
    <t>ISC-12/3/M</t>
  </si>
  <si>
    <t>24I27C</t>
  </si>
  <si>
    <t>24I27D</t>
  </si>
  <si>
    <t>24I30A</t>
  </si>
  <si>
    <t>24I30B</t>
  </si>
  <si>
    <t>24I30C</t>
  </si>
  <si>
    <t>WHK 60-36-00-04</t>
  </si>
  <si>
    <t>WHK 60-00-36-04</t>
  </si>
  <si>
    <t>WHK60-00-36-04</t>
  </si>
  <si>
    <t>24I10D</t>
  </si>
  <si>
    <t>WHK 70-21-00-09</t>
  </si>
  <si>
    <t>Formerly WHK stock purchased by ABT</t>
  </si>
  <si>
    <t>24I11A</t>
  </si>
  <si>
    <t>24I16B</t>
  </si>
  <si>
    <t>24I16C</t>
  </si>
  <si>
    <t>WHK 78-10-00-12</t>
  </si>
  <si>
    <t>24I16E</t>
  </si>
  <si>
    <t>Select Type</t>
  </si>
  <si>
    <t>24I16F</t>
  </si>
  <si>
    <t>Phifer Pavitt</t>
  </si>
  <si>
    <t>RC-59</t>
  </si>
  <si>
    <t>24I23E</t>
  </si>
  <si>
    <t>24I24A</t>
  </si>
  <si>
    <t>WHK 80-10-00-10</t>
  </si>
  <si>
    <t>24I26C</t>
  </si>
  <si>
    <t>WHK 73-18-00-09</t>
  </si>
  <si>
    <t>24I27A</t>
  </si>
  <si>
    <t>24I30D</t>
  </si>
  <si>
    <t>24J02D</t>
  </si>
  <si>
    <t>24J01A</t>
  </si>
  <si>
    <t>24J02E</t>
  </si>
  <si>
    <t>PVS 70-22-00-08</t>
  </si>
  <si>
    <t>24J01C</t>
  </si>
  <si>
    <t>24J02A</t>
  </si>
  <si>
    <t>24J02B</t>
  </si>
  <si>
    <t>PVS 00-95-00-05</t>
  </si>
  <si>
    <t>24J01B</t>
  </si>
  <si>
    <t>24J03A</t>
  </si>
  <si>
    <t>24J03B</t>
  </si>
  <si>
    <t>24J03C</t>
  </si>
  <si>
    <t>24J04A</t>
  </si>
  <si>
    <t>GSC 00-95-00-05</t>
  </si>
  <si>
    <t>24J04C</t>
  </si>
  <si>
    <t>GRS 00-95-00-05</t>
  </si>
  <si>
    <t>ISC-18/3/M</t>
  </si>
  <si>
    <t>24J04B</t>
  </si>
  <si>
    <t>DBC 52-00-36-12</t>
  </si>
  <si>
    <t>24J07A</t>
  </si>
  <si>
    <t>ISC-18/3/N-A</t>
  </si>
  <si>
    <t>24J07B</t>
  </si>
  <si>
    <t>24J07C</t>
  </si>
  <si>
    <t>24J08A</t>
  </si>
  <si>
    <t>24J08B</t>
  </si>
  <si>
    <t>24J08C</t>
  </si>
  <si>
    <t>24J09C</t>
  </si>
  <si>
    <t>24J09E</t>
  </si>
  <si>
    <t>ISC 6/1/light</t>
  </si>
  <si>
    <t>October 9. 2024</t>
  </si>
  <si>
    <t>WHK 52-00-36-12</t>
  </si>
  <si>
    <t>24J09D</t>
  </si>
  <si>
    <t>October, 8 2024</t>
  </si>
  <si>
    <t>24J08D</t>
  </si>
  <si>
    <t>24J09A</t>
  </si>
  <si>
    <t>24J09B</t>
  </si>
  <si>
    <t>October, 10 2024</t>
  </si>
  <si>
    <t>24J10A</t>
  </si>
  <si>
    <t>24J10B</t>
  </si>
  <si>
    <t>24J10C</t>
  </si>
  <si>
    <t>WHK 74-00-18-08</t>
  </si>
  <si>
    <t>October, 11 2024</t>
  </si>
  <si>
    <t>24J11A</t>
  </si>
  <si>
    <t>24J11B</t>
  </si>
  <si>
    <t>October, 14 2024</t>
  </si>
  <si>
    <t>24J14A</t>
  </si>
  <si>
    <t>24J14B</t>
  </si>
  <si>
    <t>24J14C</t>
  </si>
  <si>
    <t>October, 15 2024</t>
  </si>
  <si>
    <t>24J15A</t>
  </si>
  <si>
    <t>24J15B</t>
  </si>
  <si>
    <t>October, 16 2024</t>
  </si>
  <si>
    <t>24J16A</t>
  </si>
  <si>
    <t>ISC-SPEY</t>
  </si>
  <si>
    <t>24J16B</t>
  </si>
  <si>
    <t>SPEY-ISC</t>
  </si>
  <si>
    <t>24J17A</t>
  </si>
  <si>
    <t>24J17B</t>
  </si>
  <si>
    <t>24J17C</t>
  </si>
  <si>
    <t>24J18A</t>
  </si>
  <si>
    <t>24J18B</t>
  </si>
  <si>
    <t>24J21A</t>
  </si>
  <si>
    <t>24J21B</t>
  </si>
  <si>
    <t>24J21C</t>
  </si>
  <si>
    <t>24J22A</t>
  </si>
  <si>
    <t>24J22B</t>
  </si>
  <si>
    <t>24J23A</t>
  </si>
  <si>
    <t>24J23B</t>
  </si>
  <si>
    <t>24J23C</t>
  </si>
  <si>
    <t>24J24A</t>
  </si>
  <si>
    <t>24J24B</t>
  </si>
  <si>
    <t>BGL 70-21-00-09</t>
  </si>
  <si>
    <t>24J24C</t>
  </si>
  <si>
    <t>24J24D</t>
  </si>
  <si>
    <t>24J25A</t>
  </si>
  <si>
    <t>24J25B</t>
  </si>
  <si>
    <t>24J25C</t>
  </si>
  <si>
    <t>24J28A</t>
  </si>
  <si>
    <t>24J28B</t>
  </si>
  <si>
    <t>24J28C</t>
  </si>
  <si>
    <t>24J28D</t>
  </si>
  <si>
    <t>24J29A</t>
  </si>
  <si>
    <t>24J29B</t>
  </si>
  <si>
    <t>24J29C</t>
  </si>
  <si>
    <t>24J30A</t>
  </si>
  <si>
    <t>24J30B</t>
  </si>
  <si>
    <t>GSC 75-21-00-04</t>
  </si>
  <si>
    <t>24J30C</t>
  </si>
  <si>
    <t xml:space="preserve"> GSC 75-21-00-04</t>
  </si>
  <si>
    <t>ISC-18/3.0/M</t>
  </si>
  <si>
    <t>24J31A</t>
  </si>
  <si>
    <t>PAW 75-21-00-04</t>
  </si>
  <si>
    <t>24J31C</t>
  </si>
  <si>
    <t xml:space="preserve"> PAW 75-21-00-04</t>
  </si>
  <si>
    <t>ISC-6/4.0/N-A</t>
  </si>
  <si>
    <t>included in above</t>
  </si>
  <si>
    <t>24J31D</t>
  </si>
  <si>
    <t>24J31E</t>
  </si>
  <si>
    <t>ISC-6/3.0/M</t>
  </si>
  <si>
    <t>24J31F</t>
  </si>
  <si>
    <t xml:space="preserve"> WHK 75-21-00-04</t>
  </si>
  <si>
    <t>PAW 00-95-00-05</t>
  </si>
  <si>
    <t>24K01A</t>
  </si>
  <si>
    <t>24K01B</t>
  </si>
  <si>
    <t xml:space="preserve"> PAW 00-95-00-05</t>
  </si>
  <si>
    <t xml:space="preserve"> WHK 00-95-00-05</t>
  </si>
  <si>
    <t>24K01F</t>
  </si>
  <si>
    <t>PAW 60-36-00-04</t>
  </si>
  <si>
    <t>24K01C</t>
  </si>
  <si>
    <t>24K01D</t>
  </si>
  <si>
    <t xml:space="preserve"> PAW 60-36-00-04</t>
  </si>
  <si>
    <t xml:space="preserve"> WHK 60-36-00-04</t>
  </si>
  <si>
    <t>24K01E</t>
  </si>
  <si>
    <t>DGI 60-36-00-04</t>
  </si>
  <si>
    <t>24K04B</t>
  </si>
  <si>
    <t>included above</t>
  </si>
  <si>
    <t>24K04C</t>
  </si>
  <si>
    <t>24K04A</t>
  </si>
  <si>
    <t xml:space="preserve"> JBM 75-21-00-04</t>
  </si>
  <si>
    <t>24K04D</t>
  </si>
  <si>
    <t>24K04E</t>
  </si>
  <si>
    <t>24K05A</t>
  </si>
  <si>
    <t>24K05B</t>
  </si>
  <si>
    <t>24K05C</t>
  </si>
  <si>
    <t>24K06A</t>
  </si>
  <si>
    <t>24K06B</t>
  </si>
  <si>
    <t>24K07A</t>
  </si>
  <si>
    <t>24K08A</t>
  </si>
  <si>
    <t>24K08B</t>
  </si>
  <si>
    <t>24K11A</t>
  </si>
  <si>
    <t>24K11B</t>
  </si>
  <si>
    <t>24K12A</t>
  </si>
  <si>
    <t>24K12B</t>
  </si>
  <si>
    <t xml:space="preserve"> DWL 75-21-00-04</t>
  </si>
  <si>
    <t>24K12C</t>
  </si>
  <si>
    <t>24K13A</t>
  </si>
  <si>
    <t>24K12D</t>
  </si>
  <si>
    <t>JBM 51-00-40-09</t>
  </si>
  <si>
    <t>24K11C</t>
  </si>
  <si>
    <t xml:space="preserve"> JBM 51-00-40-09</t>
  </si>
  <si>
    <t>24K13B</t>
  </si>
  <si>
    <t xml:space="preserve"> ABT 74-18-00-08</t>
  </si>
  <si>
    <t>Choose WHSE</t>
  </si>
  <si>
    <t>24K14A</t>
  </si>
  <si>
    <t>24K14C</t>
  </si>
  <si>
    <t>24K15A</t>
  </si>
  <si>
    <t>24K15B</t>
  </si>
  <si>
    <t>24K15C</t>
  </si>
  <si>
    <t>24K14B</t>
  </si>
  <si>
    <t xml:space="preserve">1 of 2 Koetter Construction Barrels </t>
  </si>
  <si>
    <t>24K18A</t>
  </si>
  <si>
    <t>24K18B</t>
  </si>
  <si>
    <t>24K18C</t>
  </si>
  <si>
    <t>24K19B</t>
  </si>
  <si>
    <t>24K19C</t>
  </si>
  <si>
    <t>WHK_WHSE_02</t>
  </si>
  <si>
    <t>24K20A</t>
  </si>
  <si>
    <t>24K20B</t>
  </si>
  <si>
    <t>24K20C</t>
  </si>
  <si>
    <t>24K19A</t>
  </si>
  <si>
    <t xml:space="preserve">2 of 2 Koetter Construction Barrels </t>
  </si>
  <si>
    <t>24K21A</t>
  </si>
  <si>
    <t>ISC- 18/4.0/Med</t>
  </si>
  <si>
    <t>24K21B</t>
  </si>
  <si>
    <t>24K21C</t>
  </si>
  <si>
    <t>24K21D</t>
  </si>
  <si>
    <t>CBI 00-95-00-05</t>
  </si>
  <si>
    <t>24K21E</t>
  </si>
  <si>
    <t>24K22A</t>
  </si>
  <si>
    <t>24K22B</t>
  </si>
  <si>
    <t>WTS 60-36-00-04</t>
  </si>
  <si>
    <t>24K22D</t>
  </si>
  <si>
    <t>Shipped out to WTS -Midway, KY via Ballard Trucking</t>
  </si>
  <si>
    <t>24K25A</t>
  </si>
  <si>
    <t>24K25B</t>
  </si>
  <si>
    <t>ABT 60-36-00-04</t>
  </si>
  <si>
    <t>24K22C</t>
  </si>
  <si>
    <t>Plastic Drums</t>
  </si>
  <si>
    <t>RC-55</t>
  </si>
  <si>
    <t>Customer: Chicken Cock-ABT Partners, LLC aka Grain &amp; Barrel</t>
  </si>
  <si>
    <t>DWL 60-36-00-04</t>
  </si>
  <si>
    <t>24K25C</t>
  </si>
  <si>
    <t>WTS 60-00-36-04</t>
  </si>
  <si>
    <t>24K25D</t>
  </si>
  <si>
    <t>24K25E</t>
  </si>
  <si>
    <t>BRL 73-18-00-09</t>
  </si>
  <si>
    <t>24K25F</t>
  </si>
  <si>
    <t>ISC char #3</t>
  </si>
  <si>
    <t>Shipped out to Bagdad, KY via Cargo Solutions</t>
  </si>
  <si>
    <t>24K26A</t>
  </si>
  <si>
    <t>24K26B</t>
  </si>
  <si>
    <t>24K26C</t>
  </si>
  <si>
    <t>24K27A</t>
  </si>
  <si>
    <t>24K27B</t>
  </si>
  <si>
    <t>24K28A</t>
  </si>
  <si>
    <t>24K28B</t>
  </si>
  <si>
    <t>24L02A</t>
  </si>
  <si>
    <t>24L02B</t>
  </si>
  <si>
    <t>24L02C</t>
  </si>
  <si>
    <t>24L02D</t>
  </si>
  <si>
    <t>24L03A</t>
  </si>
  <si>
    <t>24L03B</t>
  </si>
  <si>
    <t>24L03C</t>
  </si>
  <si>
    <t>DWL 75-21-00-04</t>
  </si>
  <si>
    <t>24L23A</t>
  </si>
  <si>
    <t>24L23B</t>
  </si>
  <si>
    <t>PAW 65-15-12-08</t>
  </si>
  <si>
    <t>24L26A</t>
  </si>
  <si>
    <t>ISC- 6/4.0/N-A</t>
  </si>
  <si>
    <t>24L26B</t>
  </si>
  <si>
    <t>24L26C</t>
  </si>
  <si>
    <t>ISC- 12/3.0/Med</t>
  </si>
  <si>
    <t>24L26D</t>
  </si>
  <si>
    <t>ISC- 18/3.0/Med</t>
  </si>
  <si>
    <t>24L26E</t>
  </si>
  <si>
    <t>ISC- 6/3.0/Med</t>
  </si>
  <si>
    <t>24L26F</t>
  </si>
  <si>
    <t>24L26G</t>
  </si>
  <si>
    <t>WHK 65-15-12-08</t>
  </si>
  <si>
    <t>24L26H</t>
  </si>
  <si>
    <t>24L26I</t>
  </si>
  <si>
    <t>OCD-64-00-24-12</t>
  </si>
  <si>
    <t>24L27A</t>
  </si>
  <si>
    <t>24L27B</t>
  </si>
  <si>
    <t>24L27C</t>
  </si>
  <si>
    <t>24L30A</t>
  </si>
  <si>
    <t>WHK-64-00-24-12</t>
  </si>
  <si>
    <t>24L30B</t>
  </si>
  <si>
    <t>SBL-70-21-00-09</t>
  </si>
  <si>
    <t>24L30C</t>
  </si>
  <si>
    <t>Kelvin-6/4.0/M&amp;T</t>
  </si>
  <si>
    <t>ABT-70-21-00-09</t>
  </si>
  <si>
    <t>24L30D</t>
  </si>
  <si>
    <t>SBL-64-24-00-12</t>
  </si>
  <si>
    <t>24L30E</t>
  </si>
  <si>
    <t>24L31A</t>
  </si>
  <si>
    <t>24L31C</t>
  </si>
  <si>
    <t>Date</t>
  </si>
  <si>
    <t>Customer</t>
  </si>
  <si>
    <t>Lot</t>
  </si>
  <si>
    <t>Smell</t>
  </si>
  <si>
    <t>Taste</t>
  </si>
  <si>
    <t>Analyst</t>
  </si>
  <si>
    <t>Comment</t>
  </si>
  <si>
    <t>Aug 16, steam to 150lbs</t>
  </si>
  <si>
    <t>RSLP</t>
  </si>
  <si>
    <t>24H05A</t>
  </si>
  <si>
    <t>Justin</t>
  </si>
  <si>
    <t>24H05B</t>
  </si>
  <si>
    <t>24H05C</t>
  </si>
  <si>
    <t>Alex</t>
  </si>
  <si>
    <t>Good Rye Characteristic, Slight meaty smell</t>
  </si>
  <si>
    <t>Slightly Neutral, Good Rye Characteristic</t>
  </si>
  <si>
    <t>Slightly Neutral</t>
  </si>
  <si>
    <t>24H07A</t>
  </si>
  <si>
    <t>JBM</t>
  </si>
  <si>
    <t>24H07B</t>
  </si>
  <si>
    <t>Slight light, Very Slightly floral</t>
  </si>
  <si>
    <t>Good complexity</t>
  </si>
  <si>
    <t>some vegetal note, thicker mouthfeel</t>
  </si>
  <si>
    <t>24H08B</t>
  </si>
  <si>
    <t>Slight Heavy smell, Slightly light taste</t>
  </si>
  <si>
    <t>24H09A</t>
  </si>
  <si>
    <t>Slightly Light all around but smooth/sweet</t>
  </si>
  <si>
    <t>24H09B</t>
  </si>
  <si>
    <t>24H12A</t>
  </si>
  <si>
    <t>Slightly Light, Sweet and creamy, Smooth</t>
  </si>
  <si>
    <t>24H12B</t>
  </si>
  <si>
    <t>24H13A</t>
  </si>
  <si>
    <t>24H13B</t>
  </si>
  <si>
    <t>24H14A</t>
  </si>
  <si>
    <t>Light, Sweet and Smooth</t>
  </si>
  <si>
    <t>24H14B</t>
  </si>
  <si>
    <t>24H15A</t>
  </si>
  <si>
    <t>Heavy AA, bitter/acetic</t>
  </si>
  <si>
    <t>ULP</t>
  </si>
  <si>
    <t>24H20A</t>
  </si>
  <si>
    <t>Good grain balance smell, Floral tasting note</t>
  </si>
  <si>
    <t>24H19A</t>
  </si>
  <si>
    <t>baking spice smell, thick mouthfeel, very aceitic/bitter</t>
  </si>
  <si>
    <t>24H19B</t>
  </si>
  <si>
    <t>Bitter, neutral, no grain or ester coming through</t>
  </si>
  <si>
    <t>24H20B</t>
  </si>
  <si>
    <t>slightly sulfur on nose, sweet tasting notes, no spice</t>
  </si>
  <si>
    <t>24H21A</t>
  </si>
  <si>
    <t>slightly sulfur on nose, sweet but thin, no spice</t>
  </si>
  <si>
    <t>slightly sulfur on nose, some floral/sweet but thin, no spice</t>
  </si>
  <si>
    <t>MHS</t>
  </si>
  <si>
    <t>24H22B</t>
  </si>
  <si>
    <t>fruity sweet grain nose, slightly bitter/aceitic</t>
  </si>
  <si>
    <t>24H22A</t>
  </si>
  <si>
    <t>some sulfur notes, neutral taste slight spice finish</t>
  </si>
  <si>
    <t>24H23A</t>
  </si>
  <si>
    <t>sweet nose, very bitter/aceitic taste, grassy</t>
  </si>
  <si>
    <t>LQD</t>
  </si>
  <si>
    <t>slightly AA, slightly bitter, good floral/sweet nose</t>
  </si>
  <si>
    <t>Slightly sulfer smell, Slightly bitter</t>
  </si>
  <si>
    <t>Slightly sulfer smell but lighter, slightly acidic</t>
  </si>
  <si>
    <t>Light on the nose, slightly grassy</t>
  </si>
  <si>
    <t>Light on the nose medical, slightly bitter</t>
  </si>
  <si>
    <t>Ferm 6 Isolation</t>
  </si>
  <si>
    <t>Good rye Characteristic on nose, sweet with a thicker(oil) mouthfeel</t>
  </si>
  <si>
    <t>Good esters on nose, Neutral taste</t>
  </si>
  <si>
    <t>Good nose light taste smooth</t>
  </si>
  <si>
    <t>Good esters on nose, Acetic, slightly grassy</t>
  </si>
  <si>
    <t>Great nose little light, Taste smooth and slightly creamy</t>
  </si>
  <si>
    <t>WCL</t>
  </si>
  <si>
    <t>Unique, fruity sweet taste with a rye spice on the nose, AA on the finish</t>
  </si>
  <si>
    <t>Great nose , sweet and rich with slight cream</t>
  </si>
  <si>
    <t>Sharp on the nose, good taste slight bitter at the finish</t>
  </si>
  <si>
    <t>acetic and bitter taste, not comparable to first lots</t>
  </si>
  <si>
    <t>Slight bitter tsate, off from other lots</t>
  </si>
  <si>
    <t>HNW</t>
  </si>
  <si>
    <t>Heavy AA on nose, sweet taste with rye spice</t>
  </si>
  <si>
    <t xml:space="preserve">AA on the nose, Sweet taste </t>
  </si>
  <si>
    <t>Heavy AA on nose, bitter and AA/EA taste, no rye spice</t>
  </si>
  <si>
    <t>AA on the nose, Slightly bitter and sweet taste</t>
  </si>
  <si>
    <t>WHK</t>
  </si>
  <si>
    <t>Vegatal on nose, slightly rye spice</t>
  </si>
  <si>
    <t>Slight green on the nose, Sweet taste and slighty creamy</t>
  </si>
  <si>
    <t>Vegatal, thicker mouthfeel</t>
  </si>
  <si>
    <t>Slightly veggie, Slight sweet very slightly creamy.</t>
  </si>
  <si>
    <t>Cooked vegetable on nose, Neutral taste, slightly sweet</t>
  </si>
  <si>
    <t>Lightly green on the nose, Sweet and slightly creamy</t>
  </si>
  <si>
    <t>BHK</t>
  </si>
  <si>
    <t>Lightly veg on the nose and light sweet smooth taste</t>
  </si>
  <si>
    <t>Creamy, Neutral taste, rye spice finish</t>
  </si>
  <si>
    <t>Very light green smeel, Sweet and smooth taste</t>
  </si>
  <si>
    <t>lacking on sweetness and fruitiness, harsh finish</t>
  </si>
  <si>
    <t>Light green smeel, light on taste. Very slight on smoothness</t>
  </si>
  <si>
    <t>Light on the nose, Sweet, creamy taste</t>
  </si>
  <si>
    <t>lacking of any flavor compounds, no esters or grain sweetness</t>
  </si>
  <si>
    <t>Light on smell and taste, slightly bandaid and light on taste</t>
  </si>
  <si>
    <t>Heavy phenolic profile</t>
  </si>
  <si>
    <t>Light on the nose, Sweet and Creamy taste</t>
  </si>
  <si>
    <t>Better flavor profile than previous lots, sweeter with rye spice finish</t>
  </si>
  <si>
    <t>Slight green nose with spice, Smooth and creamy light on spice</t>
  </si>
  <si>
    <t>vegetal on nose, good complex flavor profile with rye spice notes</t>
  </si>
  <si>
    <t>Slight green on the nose, Sweet taste and creamy</t>
  </si>
  <si>
    <t>great fruit and sweet balance, slightly thin</t>
  </si>
  <si>
    <t>Light on the nose, Light smooth and sweet</t>
  </si>
  <si>
    <t>grainy (raw), harsh finish, neutral</t>
  </si>
  <si>
    <t>Sweet, smooth very light hard finish</t>
  </si>
  <si>
    <t>sweet, grainy</t>
  </si>
  <si>
    <t>Light fusel, Sweet and smooth</t>
  </si>
  <si>
    <t>fusel on nose, good sweet and spice balance</t>
  </si>
  <si>
    <t>Light on nose, sweet and smooth</t>
  </si>
  <si>
    <t>sweet and fruity</t>
  </si>
  <si>
    <t>Sweety feet smell, Lacking on flavor veryly slightly sweet</t>
  </si>
  <si>
    <t>Stinky feet smell, stagnate off putting</t>
  </si>
  <si>
    <t>ABT</t>
  </si>
  <si>
    <t>Slightly acidic smell, Light on taste light sweet</t>
  </si>
  <si>
    <t>uncooked grain on nose (stalky), aldehyde taste, bitter</t>
  </si>
  <si>
    <t>good nose, lightly creamy and sweet</t>
  </si>
  <si>
    <t>Lightly bitter nose, verly light taste</t>
  </si>
  <si>
    <t>stinky feet smell, neutral taste</t>
  </si>
  <si>
    <t>Sweet lightly creamy</t>
  </si>
  <si>
    <t>slightly fusel, good spice finish</t>
  </si>
  <si>
    <t>Slightly light and Smooth light creamy</t>
  </si>
  <si>
    <t>thin, neutral, slightly aceitic finish</t>
  </si>
  <si>
    <t>Good notes and Very smooth</t>
  </si>
  <si>
    <t>butyric acid nose and taste</t>
  </si>
  <si>
    <t>Good nose, lightly sweet</t>
  </si>
  <si>
    <t>Good balance, aceitic finish</t>
  </si>
  <si>
    <t>Good nose, Lighhtly Sweet</t>
  </si>
  <si>
    <t>Good nose, Lightly sweet very slighlty creamy</t>
  </si>
  <si>
    <t>Good balance, semi sweet with a slight spice</t>
  </si>
  <si>
    <t>Neutral nose, sweet notes</t>
  </si>
  <si>
    <t>Very light green nose, Very slightly green taste</t>
  </si>
  <si>
    <t>vegatal on nose, green and grassy taste</t>
  </si>
  <si>
    <t>Good nose, Great taste</t>
  </si>
  <si>
    <t>Clean, good esters</t>
  </si>
  <si>
    <t>Slight green, Little on taste</t>
  </si>
  <si>
    <t>Grassy, slightly vegetal, brothy</t>
  </si>
  <si>
    <t>Light on the nose, Little taste very light sweet</t>
  </si>
  <si>
    <t>rye forward chracteristics, no grain, no esters, dry finish</t>
  </si>
  <si>
    <t>Green nose, light cream</t>
  </si>
  <si>
    <t>Thin, neutral, dry</t>
  </si>
  <si>
    <t>Light veg, Light grain</t>
  </si>
  <si>
    <t>Thin, Neutral, no outstanding characteristics</t>
  </si>
  <si>
    <t>Thin, dry</t>
  </si>
  <si>
    <t>Butter, harsh spice</t>
  </si>
  <si>
    <t>Slight off nose, Slight sweetness</t>
  </si>
  <si>
    <t>phenolic, acetic/bitter, slightly sweet</t>
  </si>
  <si>
    <t>Bitter nose, Spicy</t>
  </si>
  <si>
    <t>AA, phenolic, rye spic finish</t>
  </si>
  <si>
    <t>FDP</t>
  </si>
  <si>
    <t>Bitter nose, Green taste</t>
  </si>
  <si>
    <t>heavy floral notes, dry/weedy</t>
  </si>
  <si>
    <t>lacking on nose, sweet slightly creamy</t>
  </si>
  <si>
    <t>floral, sweet with a spice finish</t>
  </si>
  <si>
    <t xml:space="preserve">Light on the nose medical, slightly sweet </t>
  </si>
  <si>
    <t>WGS</t>
  </si>
  <si>
    <t>off nose and slightly bitter</t>
  </si>
  <si>
    <t>grainy taste, phenolic</t>
  </si>
  <si>
    <t>phenolic, lacking sweetness</t>
  </si>
  <si>
    <t>Nose slightly green, very slightly sweet</t>
  </si>
  <si>
    <t>slightly sweet, phenolic</t>
  </si>
  <si>
    <t>OTS</t>
  </si>
  <si>
    <t>Green nose, slightly creamy</t>
  </si>
  <si>
    <t>creamy, grainy, lacking</t>
  </si>
  <si>
    <t xml:space="preserve">Grassy Nose, Little dry grainy </t>
  </si>
  <si>
    <t>grainy, lacking</t>
  </si>
  <si>
    <t>AA, phenolic, acetic/bitter</t>
  </si>
  <si>
    <t>Sweaty, little grassy</t>
  </si>
  <si>
    <t>vomit nose, grassy finish, unexpected from an 80% corn</t>
  </si>
  <si>
    <t>Grainy, Lacking slight Sweet</t>
  </si>
  <si>
    <t>yeasty/doughy, slightly fruity</t>
  </si>
  <si>
    <t>Light sweet nose, Sweet</t>
  </si>
  <si>
    <t>fruity notes, sweet grain</t>
  </si>
  <si>
    <t>Light nose, sweet lightly creamy</t>
  </si>
  <si>
    <t>dry tanin, slightly sweet</t>
  </si>
  <si>
    <t>Green nose, Slightly sweet creamy</t>
  </si>
  <si>
    <t>grassy</t>
  </si>
  <si>
    <t>Good nose, Light taste sweet and creamy</t>
  </si>
  <si>
    <t>Good nose, Lightly sweet and creamy</t>
  </si>
  <si>
    <t>sweat/vomit acetic</t>
  </si>
  <si>
    <t>sweaty, vomit nose</t>
  </si>
  <si>
    <t>Fruity nose, Medium sweet and creamy</t>
  </si>
  <si>
    <t>sweaty, vomit nose, lacking</t>
  </si>
  <si>
    <t>LSS</t>
  </si>
  <si>
    <t>Warm cinnamon, clean</t>
  </si>
  <si>
    <t>24I26D</t>
  </si>
  <si>
    <t>good nose clean taste</t>
  </si>
  <si>
    <t>lacking nose, slightly fruity</t>
  </si>
  <si>
    <t>Acetic and bitter taste</t>
  </si>
  <si>
    <t>warm cinnamon, dry, thicker mouthfeel</t>
  </si>
  <si>
    <t>acetic/bitter taste, dry, rye spice finish</t>
  </si>
  <si>
    <t>slight off smell light sweet and creamy</t>
  </si>
  <si>
    <t>Sweaty/Grainy</t>
  </si>
  <si>
    <t>Clean, rye spice</t>
  </si>
  <si>
    <t>PVS</t>
  </si>
  <si>
    <t>Warm cinnamon, bread</t>
  </si>
  <si>
    <t>Off smell and littlle sweet smooth</t>
  </si>
  <si>
    <t>Vomit/grainy nose, sweet taste</t>
  </si>
  <si>
    <t>24J02C</t>
  </si>
  <si>
    <t>Clean and sweet</t>
  </si>
  <si>
    <t>fruity, dry tanin finish</t>
  </si>
  <si>
    <t>Fruit sweet smooth</t>
  </si>
  <si>
    <t>Sweat nose, fruity/dry</t>
  </si>
  <si>
    <t>light sweaty, sweet smooht</t>
  </si>
  <si>
    <t>Fruity/Creamy</t>
  </si>
  <si>
    <t>Sweet and Creamy</t>
  </si>
  <si>
    <t>Full Rye characteristics</t>
  </si>
  <si>
    <t>Pepper and spice</t>
  </si>
  <si>
    <t>GRS</t>
  </si>
  <si>
    <t>DBC</t>
  </si>
  <si>
    <t>full nose, slightly spicy smooth</t>
  </si>
  <si>
    <t>AA, weedy</t>
  </si>
  <si>
    <t>Light green and very lighly sweet</t>
  </si>
  <si>
    <t>Burnt rubber</t>
  </si>
  <si>
    <t>Fruity, dry</t>
  </si>
  <si>
    <t>Sweaty nose</t>
  </si>
  <si>
    <t>WSC</t>
  </si>
  <si>
    <t>vomit, sweaty</t>
  </si>
  <si>
    <t>oily</t>
  </si>
  <si>
    <t>oily slight rubber</t>
  </si>
  <si>
    <t>dry tanins</t>
  </si>
  <si>
    <t xml:space="preserve">green/herbal </t>
  </si>
  <si>
    <t>Harsh finish</t>
  </si>
  <si>
    <t>Harsh, acetic</t>
  </si>
  <si>
    <t>Acetic</t>
  </si>
  <si>
    <t>Dry, Grainy</t>
  </si>
  <si>
    <t>Lacking/thin</t>
  </si>
  <si>
    <t>Rubber, dry, harsh</t>
  </si>
  <si>
    <t>Dry</t>
  </si>
  <si>
    <t>Slightly sweet</t>
  </si>
  <si>
    <t>24J22C</t>
  </si>
  <si>
    <t>BGL</t>
  </si>
  <si>
    <t>Barrel OEM</t>
  </si>
  <si>
    <t>American Single Malt</t>
  </si>
  <si>
    <t>Corn Bourbon</t>
  </si>
  <si>
    <t>WHK_WHSE_03</t>
  </si>
  <si>
    <t>Corn Whiskey</t>
  </si>
  <si>
    <t>WHK_WHSE_04</t>
  </si>
  <si>
    <t>WHK_WHSE_05</t>
  </si>
  <si>
    <t>Cistern Tank 03</t>
  </si>
  <si>
    <t>WHK_WHSE_06</t>
  </si>
  <si>
    <t>WHK_WHSE_07</t>
  </si>
  <si>
    <t>Wheat Whiskey</t>
  </si>
  <si>
    <t>WHK_WHSE_08</t>
  </si>
  <si>
    <t>WHK_WHSE_09</t>
  </si>
  <si>
    <t>WHK_WHSE_10</t>
  </si>
  <si>
    <t>WHK_WHSE_11</t>
  </si>
  <si>
    <t>WHK_WHSE_12</t>
  </si>
  <si>
    <t>WHK_WHSE_13</t>
  </si>
  <si>
    <t>WHK_WHSE_14</t>
  </si>
  <si>
    <t>WHK_WHSE_15</t>
  </si>
  <si>
    <t>WHK_WHSE_16</t>
  </si>
  <si>
    <t>WHK_WHSE_17</t>
  </si>
  <si>
    <t>WHK_WHSE_18</t>
  </si>
  <si>
    <t>WHK_WHSE_19</t>
  </si>
  <si>
    <t>WHK_WHSE_20</t>
  </si>
  <si>
    <t>WHK_WHSE_21</t>
  </si>
  <si>
    <t>WHK_WHSE_22</t>
  </si>
  <si>
    <t>WHK_WHSE_23</t>
  </si>
  <si>
    <t>WHK_WHSE_24</t>
  </si>
  <si>
    <t>WHK_WHSE_25</t>
  </si>
  <si>
    <t>WHK_WHSE_26</t>
  </si>
  <si>
    <t>WHK_WHSE_27</t>
  </si>
  <si>
    <t>WHK_WHSE_28</t>
  </si>
  <si>
    <t>WHK_WHSE_29</t>
  </si>
  <si>
    <t>WHK_WHSE_30</t>
  </si>
  <si>
    <t>WHK_WHSE_31</t>
  </si>
  <si>
    <t>WHK_WHSE_32</t>
  </si>
  <si>
    <t>WHK_WHSE_33</t>
  </si>
  <si>
    <t xml:space="preserve">Total WHSE Days </t>
  </si>
  <si>
    <t>Total OPS Days</t>
  </si>
  <si>
    <t>PGs YTD</t>
  </si>
  <si>
    <t>PGs / Month</t>
  </si>
  <si>
    <t>PGs / Day for Month</t>
  </si>
  <si>
    <t>WGs YTD</t>
  </si>
  <si>
    <t>WGs / Month</t>
  </si>
  <si>
    <t>WGs / Day for Month</t>
  </si>
  <si>
    <t>Barrels YTD</t>
  </si>
  <si>
    <t>Barrels / Month</t>
  </si>
  <si>
    <t>Barrels / Day for Month</t>
  </si>
  <si>
    <t>Mo / Day Increase in PGs by %</t>
  </si>
  <si>
    <t>Totals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</si>
</sst>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m/d/yy\ h:mm;@"/>
    <numFmt numFmtId="165" formatCode="[$-409]mmmm\ d\,\ yyyy;@"/>
    <numFmt numFmtId="166" formatCode="h:mm:ss;@"/>
    <numFmt numFmtId="167" formatCode="0.000"/>
    <numFmt numFmtId="168" formatCode="[$-F400]h:mm:ss\ AM/PM"/>
    <numFmt numFmtId="169" formatCode="[$-409]mmmm\-yy;@"/>
    <numFmt numFmtId="170" formatCode="_(* #,##0_);_(* \(#,##0\);_(* &quot;-&quot;??_);_(@_)"/>
    <numFmt numFmtId="171" formatCode="0.0"/>
  </numFmts>
  <fonts count="17">
    <font>
      <sz val="11"/>
      <color theme="1"/>
      <name val="Aptos Narrow"/>
      <family val="2"/>
      <scheme val="minor"/>
    </font>
    <font>
      <sz val="12"/>
      <color theme="1"/>
      <name val="Aptos Narrow"/>
      <family val="2"/>
      <scheme val="minor"/>
    </font>
    <font>
      <sz val="8"/>
      <name val="Aptos Narrow"/>
      <family val="2"/>
      <scheme val="minor"/>
    </font>
    <font>
      <sz val="11"/>
      <color theme="1"/>
      <name val="Aptos Narrow"/>
      <family val="2"/>
      <scheme val="minor"/>
    </font>
    <font>
      <vertAlign val="subscript"/>
      <sz val="14"/>
      <color theme="1"/>
      <name val="Aptos Narrow"/>
      <family val="2"/>
      <scheme val="minor"/>
    </font>
    <font>
      <vertAlign val="subscript"/>
      <sz val="16"/>
      <color theme="1"/>
      <name val="Aptos Narrow"/>
      <family val="2"/>
      <scheme val="minor"/>
    </font>
    <font>
      <sz val="11"/>
      <color rgb="FF000000"/>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000000"/>
      <name val="Aptos Narrow"/>
      <family val="2"/>
      <scheme val="minor"/>
    </font>
    <font>
      <b/>
      <sz val="8"/>
      <color rgb="FFFF0000"/>
      <name val="Aptos Narrow"/>
      <family val="2"/>
      <scheme val="minor"/>
    </font>
    <font>
      <sz val="10"/>
      <color theme="1"/>
      <name val="Aptos Narrow"/>
      <family val="2"/>
      <scheme val="minor"/>
    </font>
    <font>
      <b/>
      <sz val="11"/>
      <color rgb="FFFF0000"/>
      <name val="Aptos Narrow"/>
      <family val="2"/>
      <scheme val="minor"/>
    </font>
    <font>
      <sz val="11"/>
      <color rgb="FF000000"/>
      <name val="Aptos Narrow"/>
      <family val="2"/>
    </font>
    <font>
      <b/>
      <sz val="10"/>
      <color theme="1"/>
      <name val="Aptos Narrow"/>
      <family val="2"/>
      <scheme val="minor"/>
    </font>
    <font>
      <b/>
      <sz val="11"/>
      <color rgb="FF000000"/>
      <name val="Aptos Narrow"/>
      <family val="2"/>
    </font>
  </fonts>
  <fills count="15">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D9D9D9"/>
        <bgColor rgb="FFD9D9D9"/>
      </patternFill>
    </fill>
    <fill>
      <patternFill patternType="solid">
        <fgColor rgb="FF00B050"/>
        <bgColor rgb="FF00B050"/>
      </patternFill>
    </fill>
    <fill>
      <patternFill patternType="solid">
        <fgColor rgb="FFFFFF00"/>
        <bgColor rgb="FFD9D9D9"/>
      </patternFill>
    </fill>
    <fill>
      <patternFill patternType="solid">
        <fgColor rgb="FF92D050"/>
        <bgColor indexed="64"/>
      </patternFill>
    </fill>
    <fill>
      <patternFill patternType="solid">
        <fgColor theme="5" tint="0.79998168889431442"/>
        <bgColor indexed="64"/>
      </patternFill>
    </fill>
    <fill>
      <patternFill patternType="solid">
        <fgColor theme="8" tint="0.39997558519241921"/>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bottom style="medium">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53">
    <xf numFmtId="0" fontId="0" fillId="0" borderId="0" xfId="0"/>
    <xf numFmtId="164" fontId="0" fillId="0" borderId="0" xfId="0" applyNumberFormat="1"/>
    <xf numFmtId="2" fontId="0" fillId="0" borderId="0" xfId="0" applyNumberFormat="1"/>
    <xf numFmtId="0" fontId="0" fillId="0" borderId="0" xfId="0" applyAlignment="1">
      <alignment horizontal="center" vertical="center"/>
    </xf>
    <xf numFmtId="2" fontId="0" fillId="0" borderId="0" xfId="0" applyNumberFormat="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7" fontId="0" fillId="0" borderId="2" xfId="0" applyNumberFormat="1" applyBorder="1" applyAlignment="1">
      <alignment horizontal="center" vertical="center"/>
    </xf>
    <xf numFmtId="4" fontId="0" fillId="0" borderId="2" xfId="0" applyNumberFormat="1" applyBorder="1" applyAlignment="1">
      <alignment horizontal="center" vertical="center"/>
    </xf>
    <xf numFmtId="0" fontId="0" fillId="0" borderId="2" xfId="0" applyBorder="1"/>
    <xf numFmtId="0" fontId="9" fillId="0" borderId="2" xfId="0" applyFont="1" applyBorder="1" applyAlignment="1">
      <alignment horizontal="center" vertical="center"/>
    </xf>
    <xf numFmtId="0" fontId="8" fillId="0" borderId="2" xfId="0" applyFont="1" applyBorder="1" applyAlignment="1">
      <alignment horizontal="center" vertical="center"/>
    </xf>
    <xf numFmtId="165" fontId="0" fillId="0" borderId="2" xfId="0" applyNumberFormat="1" applyBorder="1" applyAlignment="1" applyProtection="1">
      <alignment horizontal="center" vertical="center"/>
      <protection locked="0"/>
    </xf>
    <xf numFmtId="4" fontId="0" fillId="0" borderId="2"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2" fontId="0" fillId="0" borderId="2" xfId="0" applyNumberFormat="1" applyBorder="1" applyAlignment="1" applyProtection="1">
      <alignment horizontal="center" vertical="center"/>
      <protection locked="0"/>
    </xf>
    <xf numFmtId="167" fontId="0" fillId="0" borderId="2" xfId="0" applyNumberFormat="1" applyBorder="1" applyAlignment="1" applyProtection="1">
      <alignment horizontal="center" vertical="center"/>
      <protection locked="0"/>
    </xf>
    <xf numFmtId="0" fontId="0" fillId="0" borderId="2" xfId="0" applyBorder="1" applyProtection="1">
      <protection locked="0"/>
    </xf>
    <xf numFmtId="166" fontId="0" fillId="0" borderId="2" xfId="0" applyNumberFormat="1" applyBorder="1" applyAlignment="1" applyProtection="1">
      <alignment horizontal="center" vertical="center"/>
      <protection locked="0"/>
    </xf>
    <xf numFmtId="0" fontId="8" fillId="3" borderId="2" xfId="0" applyFont="1" applyFill="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2" fontId="0" fillId="0" borderId="2" xfId="0" applyNumberFormat="1" applyBorder="1" applyProtection="1">
      <protection locked="0"/>
    </xf>
    <xf numFmtId="0" fontId="8" fillId="0" borderId="2" xfId="0" applyFont="1" applyBorder="1" applyProtection="1">
      <protection locked="0"/>
    </xf>
    <xf numFmtId="0" fontId="0" fillId="4" borderId="2" xfId="0" applyFill="1" applyBorder="1" applyAlignment="1">
      <alignment horizontal="center" vertical="center"/>
    </xf>
    <xf numFmtId="0" fontId="8" fillId="4" borderId="2" xfId="0" applyFont="1" applyFill="1" applyBorder="1" applyAlignment="1">
      <alignment horizontal="center" vertical="center"/>
    </xf>
    <xf numFmtId="165" fontId="0" fillId="4" borderId="2" xfId="0" applyNumberFormat="1"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2" fontId="0" fillId="4" borderId="2" xfId="0" applyNumberFormat="1" applyFill="1" applyBorder="1" applyAlignment="1" applyProtection="1">
      <alignment horizontal="center" vertical="center"/>
      <protection locked="0"/>
    </xf>
    <xf numFmtId="167" fontId="0" fillId="4" borderId="2" xfId="0" applyNumberFormat="1" applyFill="1" applyBorder="1" applyAlignment="1" applyProtection="1">
      <alignment horizontal="center" vertical="center"/>
      <protection locked="0"/>
    </xf>
    <xf numFmtId="0" fontId="6" fillId="4" borderId="2" xfId="0" applyFont="1" applyFill="1" applyBorder="1" applyAlignment="1" applyProtection="1">
      <alignment horizontal="center" vertical="center"/>
      <protection locked="0"/>
    </xf>
    <xf numFmtId="0" fontId="0" fillId="4" borderId="2" xfId="0" applyFill="1" applyBorder="1" applyProtection="1">
      <protection locked="0"/>
    </xf>
    <xf numFmtId="0" fontId="8" fillId="4" borderId="2" xfId="0" applyFont="1" applyFill="1" applyBorder="1" applyProtection="1">
      <protection locked="0"/>
    </xf>
    <xf numFmtId="169" fontId="0" fillId="0" borderId="0" xfId="0" applyNumberFormat="1"/>
    <xf numFmtId="43" fontId="0" fillId="0" borderId="0" xfId="1" applyFont="1" applyAlignment="1">
      <alignment horizontal="center" vertical="center"/>
    </xf>
    <xf numFmtId="43" fontId="0" fillId="0" borderId="0" xfId="0" applyNumberFormat="1" applyAlignment="1">
      <alignment horizontal="center" vertical="center"/>
    </xf>
    <xf numFmtId="169" fontId="0" fillId="0" borderId="0" xfId="0" applyNumberFormat="1" applyAlignment="1">
      <alignment horizontal="center" vertical="center"/>
    </xf>
    <xf numFmtId="0" fontId="0" fillId="2" borderId="5" xfId="0" applyFill="1" applyBorder="1"/>
    <xf numFmtId="0" fontId="0" fillId="2" borderId="5" xfId="0" applyFill="1" applyBorder="1" applyAlignment="1">
      <alignment horizontal="center" vertical="center"/>
    </xf>
    <xf numFmtId="170" fontId="0" fillId="0" borderId="0" xfId="1" applyNumberFormat="1" applyFont="1" applyAlignment="1">
      <alignment horizontal="center" vertical="center"/>
    </xf>
    <xf numFmtId="0" fontId="0" fillId="2" borderId="5" xfId="0" applyFill="1" applyBorder="1" applyAlignment="1">
      <alignment vertical="center"/>
    </xf>
    <xf numFmtId="43" fontId="0" fillId="0" borderId="0" xfId="1" applyFont="1" applyBorder="1" applyAlignment="1">
      <alignment horizontal="center" vertical="center"/>
    </xf>
    <xf numFmtId="1" fontId="0" fillId="0" borderId="0" xfId="0" applyNumberFormat="1" applyAlignment="1">
      <alignment horizontal="left"/>
    </xf>
    <xf numFmtId="9" fontId="0" fillId="0" borderId="0" xfId="2" applyFont="1" applyAlignment="1">
      <alignment vertical="center"/>
    </xf>
    <xf numFmtId="169" fontId="0" fillId="0" borderId="7" xfId="0" applyNumberFormat="1" applyBorder="1"/>
    <xf numFmtId="1" fontId="0" fillId="0" borderId="7" xfId="0" applyNumberFormat="1" applyBorder="1" applyAlignment="1">
      <alignment horizontal="center" vertical="center"/>
    </xf>
    <xf numFmtId="0" fontId="0" fillId="0" borderId="7" xfId="0" applyBorder="1" applyAlignment="1">
      <alignment horizontal="center" vertical="center"/>
    </xf>
    <xf numFmtId="43" fontId="0" fillId="0" borderId="7" xfId="0" applyNumberFormat="1" applyBorder="1" applyAlignment="1">
      <alignment horizontal="center" vertical="center"/>
    </xf>
    <xf numFmtId="170" fontId="0" fillId="0" borderId="7" xfId="0" applyNumberFormat="1" applyBorder="1" applyAlignment="1">
      <alignment horizontal="center" vertical="center"/>
    </xf>
    <xf numFmtId="2" fontId="0" fillId="0" borderId="7" xfId="0" applyNumberFormat="1" applyBorder="1" applyAlignment="1">
      <alignment horizontal="center" vertical="center"/>
    </xf>
    <xf numFmtId="9" fontId="0" fillId="0" borderId="7" xfId="2" applyFont="1" applyBorder="1" applyAlignment="1"/>
    <xf numFmtId="0" fontId="9" fillId="0" borderId="2" xfId="0" applyFont="1" applyBorder="1" applyAlignment="1" applyProtection="1">
      <alignment horizontal="center" vertical="center"/>
      <protection locked="0"/>
    </xf>
    <xf numFmtId="2" fontId="0" fillId="0" borderId="1" xfId="0" applyNumberFormat="1" applyBorder="1" applyAlignment="1" applyProtection="1">
      <alignment horizontal="center" vertical="center"/>
      <protection locked="0"/>
    </xf>
    <xf numFmtId="2" fontId="0" fillId="0" borderId="1" xfId="0" applyNumberFormat="1" applyBorder="1" applyAlignment="1">
      <alignment horizontal="center"/>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2" fontId="0" fillId="0" borderId="8" xfId="0" applyNumberFormat="1" applyBorder="1" applyAlignment="1" applyProtection="1">
      <alignment horizontal="center" vertical="center"/>
      <protection locked="0"/>
    </xf>
    <xf numFmtId="0" fontId="0" fillId="0" borderId="6" xfId="0" applyBorder="1" applyAlignment="1" applyProtection="1">
      <alignment horizontal="center" vertical="center"/>
      <protection locked="0"/>
    </xf>
    <xf numFmtId="165" fontId="0" fillId="0" borderId="2" xfId="0" applyNumberFormat="1" applyBorder="1" applyAlignment="1">
      <alignment horizontal="center" vertical="center"/>
    </xf>
    <xf numFmtId="166" fontId="0" fillId="0" borderId="2" xfId="0" applyNumberFormat="1" applyBorder="1" applyAlignment="1">
      <alignment horizontal="center" vertical="center"/>
    </xf>
    <xf numFmtId="165" fontId="0" fillId="5" borderId="2" xfId="0" applyNumberFormat="1" applyFill="1" applyBorder="1" applyAlignment="1">
      <alignment horizontal="center" vertical="center"/>
    </xf>
    <xf numFmtId="0" fontId="0" fillId="5" borderId="2" xfId="0" applyFill="1" applyBorder="1" applyAlignment="1">
      <alignment horizontal="center" vertical="center"/>
    </xf>
    <xf numFmtId="2" fontId="0" fillId="5"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0" fontId="0" fillId="5" borderId="2" xfId="0" applyFill="1" applyBorder="1"/>
    <xf numFmtId="0" fontId="8" fillId="3" borderId="2" xfId="0" applyFont="1" applyFill="1" applyBorder="1" applyAlignment="1">
      <alignment horizontal="center" vertical="center"/>
    </xf>
    <xf numFmtId="2" fontId="0" fillId="5" borderId="2" xfId="1" applyNumberFormat="1" applyFont="1" applyFill="1" applyBorder="1" applyAlignment="1" applyProtection="1">
      <alignment horizontal="center" vertical="center"/>
    </xf>
    <xf numFmtId="4" fontId="0" fillId="5" borderId="2" xfId="0" applyNumberFormat="1" applyFill="1" applyBorder="1" applyAlignment="1">
      <alignment horizontal="center" vertical="center"/>
    </xf>
    <xf numFmtId="1" fontId="0" fillId="5" borderId="2" xfId="1" applyNumberFormat="1" applyFont="1" applyFill="1" applyBorder="1" applyAlignment="1" applyProtection="1">
      <alignment horizontal="center" vertical="center"/>
    </xf>
    <xf numFmtId="0" fontId="0" fillId="0" borderId="2" xfId="1" applyNumberFormat="1" applyFont="1" applyFill="1" applyBorder="1" applyAlignment="1" applyProtection="1">
      <alignment horizontal="center" vertical="center"/>
    </xf>
    <xf numFmtId="2" fontId="9" fillId="0" borderId="2" xfId="0" applyNumberFormat="1" applyFont="1" applyBorder="1" applyAlignment="1">
      <alignment horizontal="center" vertical="center"/>
    </xf>
    <xf numFmtId="0" fontId="6" fillId="0" borderId="2" xfId="0" applyFont="1" applyBorder="1" applyAlignment="1">
      <alignment horizontal="center" vertical="center"/>
    </xf>
    <xf numFmtId="2" fontId="0" fillId="0" borderId="2" xfId="1" applyNumberFormat="1" applyFont="1" applyFill="1" applyBorder="1" applyAlignment="1" applyProtection="1">
      <alignment horizontal="center" vertical="center"/>
    </xf>
    <xf numFmtId="2" fontId="7" fillId="0" borderId="2" xfId="0" applyNumberFormat="1" applyFont="1" applyBorder="1" applyAlignment="1">
      <alignment horizontal="center" vertical="center"/>
    </xf>
    <xf numFmtId="0" fontId="6" fillId="0" borderId="2" xfId="1" applyNumberFormat="1" applyFont="1" applyFill="1" applyBorder="1" applyAlignment="1" applyProtection="1">
      <alignment horizontal="center" vertical="center"/>
    </xf>
    <xf numFmtId="4" fontId="7" fillId="0" borderId="2" xfId="0" applyNumberFormat="1" applyFont="1" applyBorder="1" applyAlignment="1">
      <alignment horizontal="center" vertical="center"/>
    </xf>
    <xf numFmtId="43" fontId="0" fillId="5" borderId="2" xfId="1" applyFont="1" applyFill="1" applyBorder="1" applyAlignment="1" applyProtection="1">
      <alignment horizontal="center" vertical="center"/>
    </xf>
    <xf numFmtId="0" fontId="6" fillId="5" borderId="2" xfId="0" applyFont="1" applyFill="1" applyBorder="1" applyAlignment="1">
      <alignment horizontal="center" vertical="center"/>
    </xf>
    <xf numFmtId="43" fontId="0" fillId="5" borderId="2" xfId="0" applyNumberFormat="1" applyFill="1" applyBorder="1" applyAlignment="1">
      <alignment horizontal="right" vertical="center"/>
    </xf>
    <xf numFmtId="2" fontId="0" fillId="5" borderId="2" xfId="0" applyNumberFormat="1" applyFill="1" applyBorder="1" applyAlignment="1">
      <alignment horizontal="right" vertical="center"/>
    </xf>
    <xf numFmtId="165" fontId="0" fillId="5" borderId="2" xfId="1" applyNumberFormat="1" applyFont="1" applyFill="1" applyBorder="1" applyAlignment="1" applyProtection="1">
      <alignment horizontal="center" vertical="center"/>
    </xf>
    <xf numFmtId="2" fontId="0" fillId="5" borderId="2" xfId="1" applyNumberFormat="1" applyFont="1" applyFill="1" applyBorder="1" applyAlignment="1" applyProtection="1">
      <alignment horizontal="right" vertical="center"/>
    </xf>
    <xf numFmtId="165" fontId="7" fillId="5" borderId="2" xfId="0" applyNumberFormat="1" applyFont="1" applyFill="1" applyBorder="1" applyAlignment="1">
      <alignment horizontal="center" vertical="center"/>
    </xf>
    <xf numFmtId="2" fontId="7" fillId="5" borderId="2" xfId="0" applyNumberFormat="1" applyFont="1" applyFill="1" applyBorder="1" applyAlignment="1">
      <alignment horizontal="center" vertical="center"/>
    </xf>
    <xf numFmtId="0" fontId="7" fillId="5" borderId="2" xfId="0" applyFont="1" applyFill="1" applyBorder="1" applyAlignment="1">
      <alignment horizontal="center" vertical="center"/>
    </xf>
    <xf numFmtId="2" fontId="7" fillId="5" borderId="2" xfId="1" applyNumberFormat="1" applyFont="1" applyFill="1" applyBorder="1" applyAlignment="1" applyProtection="1">
      <alignment horizontal="center" vertical="center"/>
    </xf>
    <xf numFmtId="2" fontId="11" fillId="5" borderId="2" xfId="1" applyNumberFormat="1" applyFont="1" applyFill="1" applyBorder="1" applyAlignment="1" applyProtection="1">
      <alignment horizontal="right" vertical="center"/>
    </xf>
    <xf numFmtId="4" fontId="7" fillId="5" borderId="2" xfId="0" applyNumberFormat="1" applyFont="1" applyFill="1" applyBorder="1" applyAlignment="1">
      <alignment horizontal="center" vertical="center"/>
    </xf>
    <xf numFmtId="167" fontId="7" fillId="5" borderId="2" xfId="0" applyNumberFormat="1" applyFont="1" applyFill="1" applyBorder="1" applyAlignment="1">
      <alignment horizontal="center" vertical="center"/>
    </xf>
    <xf numFmtId="2" fontId="0" fillId="0" borderId="2" xfId="0" applyNumberFormat="1" applyBorder="1" applyAlignment="1">
      <alignment horizontal="right" vertical="center"/>
    </xf>
    <xf numFmtId="0" fontId="0" fillId="0" borderId="2" xfId="0" applyBorder="1" applyAlignment="1">
      <alignment horizontal="center"/>
    </xf>
    <xf numFmtId="165" fontId="0" fillId="4" borderId="2" xfId="0" applyNumberFormat="1" applyFill="1" applyBorder="1" applyAlignment="1">
      <alignment horizontal="center" vertical="center"/>
    </xf>
    <xf numFmtId="4" fontId="8" fillId="4" borderId="2" xfId="0" applyNumberFormat="1" applyFont="1" applyFill="1" applyBorder="1" applyAlignment="1">
      <alignment horizontal="center" vertical="center"/>
    </xf>
    <xf numFmtId="2" fontId="0" fillId="4" borderId="2" xfId="0" applyNumberFormat="1" applyFill="1" applyBorder="1" applyAlignment="1">
      <alignment horizontal="center" vertical="center"/>
    </xf>
    <xf numFmtId="167" fontId="0" fillId="4" borderId="2" xfId="0" applyNumberFormat="1" applyFill="1" applyBorder="1" applyAlignment="1">
      <alignment horizontal="center" vertical="center"/>
    </xf>
    <xf numFmtId="0" fontId="0" fillId="4" borderId="2" xfId="0" applyFill="1" applyBorder="1"/>
    <xf numFmtId="4" fontId="0" fillId="4" borderId="2" xfId="0" applyNumberFormat="1" applyFill="1" applyBorder="1" applyAlignment="1">
      <alignment horizontal="center" vertical="center"/>
    </xf>
    <xf numFmtId="2" fontId="6" fillId="4" borderId="2"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10"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2" fontId="0" fillId="6" borderId="2" xfId="0" applyNumberFormat="1" applyFill="1" applyBorder="1" applyAlignment="1">
      <alignment horizontal="center" vertical="center"/>
    </xf>
    <xf numFmtId="166" fontId="10" fillId="0" borderId="2" xfId="0" applyNumberFormat="1" applyFont="1" applyBorder="1" applyAlignment="1" applyProtection="1">
      <alignment horizontal="center" vertical="center"/>
      <protection locked="0"/>
    </xf>
    <xf numFmtId="166" fontId="6" fillId="0" borderId="2" xfId="0" applyNumberFormat="1" applyFont="1" applyBorder="1" applyAlignment="1" applyProtection="1">
      <alignment horizontal="center" vertical="center"/>
      <protection locked="0"/>
    </xf>
    <xf numFmtId="2" fontId="0" fillId="0" borderId="9" xfId="0" applyNumberFormat="1" applyBorder="1" applyAlignment="1" applyProtection="1">
      <alignment horizontal="center" vertical="center"/>
      <protection locked="0"/>
    </xf>
    <xf numFmtId="171" fontId="6" fillId="0" borderId="2" xfId="0" applyNumberFormat="1" applyFont="1" applyBorder="1" applyAlignment="1" applyProtection="1">
      <alignment horizontal="center" vertical="center"/>
      <protection locked="0"/>
    </xf>
    <xf numFmtId="165" fontId="0" fillId="3" borderId="2" xfId="0" applyNumberFormat="1" applyFill="1" applyBorder="1" applyAlignment="1" applyProtection="1">
      <alignment horizontal="center" vertical="center"/>
      <protection locked="0"/>
    </xf>
    <xf numFmtId="166" fontId="6" fillId="3" borderId="2" xfId="0" applyNumberFormat="1" applyFont="1" applyFill="1" applyBorder="1" applyAlignment="1" applyProtection="1">
      <alignment horizontal="center" vertical="center"/>
      <protection locked="0"/>
    </xf>
    <xf numFmtId="166" fontId="0" fillId="3" borderId="2" xfId="0" applyNumberFormat="1" applyFill="1" applyBorder="1" applyAlignment="1" applyProtection="1">
      <alignment horizontal="center" vertical="center"/>
      <protection locked="0"/>
    </xf>
    <xf numFmtId="0" fontId="0" fillId="3" borderId="2" xfId="0" applyFill="1" applyBorder="1" applyAlignment="1" applyProtection="1">
      <alignment horizontal="center" vertical="center"/>
      <protection locked="0"/>
    </xf>
    <xf numFmtId="2" fontId="0" fillId="3" borderId="2" xfId="0" applyNumberFormat="1" applyFill="1" applyBorder="1" applyAlignment="1" applyProtection="1">
      <alignment horizontal="center" vertical="center"/>
      <protection locked="0"/>
    </xf>
    <xf numFmtId="167" fontId="0" fillId="3" borderId="2" xfId="0" applyNumberFormat="1" applyFill="1" applyBorder="1" applyAlignment="1" applyProtection="1">
      <alignment horizontal="center" vertical="center"/>
      <protection locked="0"/>
    </xf>
    <xf numFmtId="0" fontId="6" fillId="3" borderId="2" xfId="0" applyFont="1" applyFill="1" applyBorder="1" applyAlignment="1" applyProtection="1">
      <alignment horizontal="center" vertical="center"/>
      <protection locked="0"/>
    </xf>
    <xf numFmtId="166" fontId="6" fillId="5" borderId="2" xfId="0" applyNumberFormat="1" applyFont="1" applyFill="1" applyBorder="1" applyAlignment="1" applyProtection="1">
      <alignment horizontal="center" vertical="center"/>
      <protection locked="0"/>
    </xf>
    <xf numFmtId="0" fontId="0" fillId="5" borderId="2" xfId="0" applyFill="1" applyBorder="1" applyAlignment="1" applyProtection="1">
      <alignment horizontal="center" vertical="center"/>
      <protection locked="0"/>
    </xf>
    <xf numFmtId="2" fontId="0" fillId="5" borderId="2" xfId="0" applyNumberFormat="1" applyFill="1" applyBorder="1" applyAlignment="1" applyProtection="1">
      <alignment horizontal="center" vertical="center"/>
      <protection locked="0"/>
    </xf>
    <xf numFmtId="167" fontId="0" fillId="5" borderId="2" xfId="0" applyNumberFormat="1" applyFill="1" applyBorder="1" applyAlignment="1" applyProtection="1">
      <alignment horizontal="center" vertical="center"/>
      <protection locked="0"/>
    </xf>
    <xf numFmtId="165" fontId="8" fillId="0" borderId="2" xfId="0" applyNumberFormat="1" applyFont="1" applyBorder="1" applyAlignment="1" applyProtection="1">
      <alignment horizontal="center" vertical="center"/>
      <protection locked="0"/>
    </xf>
    <xf numFmtId="4" fontId="0" fillId="7" borderId="2" xfId="0" applyNumberFormat="1" applyFill="1" applyBorder="1" applyAlignment="1" applyProtection="1">
      <alignment horizontal="center" vertical="center"/>
      <protection locked="0"/>
    </xf>
    <xf numFmtId="0" fontId="0" fillId="7" borderId="2" xfId="0" applyFill="1" applyBorder="1" applyAlignment="1" applyProtection="1">
      <alignment horizontal="center" vertical="center"/>
      <protection locked="0"/>
    </xf>
    <xf numFmtId="2" fontId="0" fillId="7" borderId="2" xfId="0" applyNumberFormat="1" applyFill="1" applyBorder="1" applyAlignment="1" applyProtection="1">
      <alignment horizontal="center" vertical="center"/>
      <protection locked="0"/>
    </xf>
    <xf numFmtId="167" fontId="0" fillId="7" borderId="2" xfId="0" applyNumberFormat="1" applyFill="1" applyBorder="1" applyAlignment="1" applyProtection="1">
      <alignment horizontal="center" vertical="center"/>
      <protection locked="0"/>
    </xf>
    <xf numFmtId="166" fontId="0" fillId="7" borderId="2" xfId="0" applyNumberFormat="1" applyFill="1" applyBorder="1" applyAlignment="1" applyProtection="1">
      <alignment horizontal="center" vertical="center"/>
      <protection locked="0"/>
    </xf>
    <xf numFmtId="2" fontId="8" fillId="7" borderId="2" xfId="0" applyNumberFormat="1" applyFont="1" applyFill="1" applyBorder="1" applyAlignment="1" applyProtection="1">
      <alignment horizontal="center" vertical="center"/>
      <protection locked="0"/>
    </xf>
    <xf numFmtId="0" fontId="6" fillId="7" borderId="2" xfId="0" applyFont="1" applyFill="1" applyBorder="1" applyAlignment="1" applyProtection="1">
      <alignment horizontal="center" vertical="center"/>
      <protection locked="0"/>
    </xf>
    <xf numFmtId="2" fontId="6" fillId="0" borderId="2" xfId="0" applyNumberFormat="1" applyFont="1" applyBorder="1" applyAlignment="1" applyProtection="1">
      <alignment horizontal="center" vertical="center"/>
      <protection locked="0"/>
    </xf>
    <xf numFmtId="0" fontId="10" fillId="3" borderId="2" xfId="0" applyFont="1" applyFill="1" applyBorder="1" applyAlignment="1" applyProtection="1">
      <alignment horizontal="center" vertical="center"/>
      <protection locked="0"/>
    </xf>
    <xf numFmtId="165" fontId="0" fillId="0" borderId="2" xfId="0" applyNumberFormat="1" applyBorder="1" applyAlignment="1">
      <alignment horizontal="center"/>
    </xf>
    <xf numFmtId="2" fontId="0" fillId="0" borderId="2" xfId="0" applyNumberFormat="1" applyBorder="1"/>
    <xf numFmtId="166" fontId="8" fillId="3" borderId="2" xfId="0" applyNumberFormat="1" applyFont="1" applyFill="1" applyBorder="1" applyAlignment="1" applyProtection="1">
      <alignment horizontal="center" vertical="center"/>
      <protection locked="0"/>
    </xf>
    <xf numFmtId="0" fontId="0" fillId="3" borderId="2" xfId="0" applyFill="1" applyBorder="1" applyAlignment="1">
      <alignment horizontal="center" vertical="center"/>
    </xf>
    <xf numFmtId="165" fontId="8" fillId="3" borderId="2" xfId="0" applyNumberFormat="1" applyFont="1" applyFill="1" applyBorder="1" applyAlignment="1" applyProtection="1">
      <alignment horizontal="center" vertical="center"/>
      <protection locked="0"/>
    </xf>
    <xf numFmtId="166" fontId="10" fillId="3" borderId="2" xfId="0" applyNumberFormat="1" applyFont="1" applyFill="1" applyBorder="1" applyAlignment="1" applyProtection="1">
      <alignment horizontal="center" vertical="center"/>
      <protection locked="0"/>
    </xf>
    <xf numFmtId="0" fontId="9" fillId="3" borderId="2" xfId="0" applyFont="1" applyFill="1" applyBorder="1" applyAlignment="1">
      <alignment horizontal="center"/>
    </xf>
    <xf numFmtId="2" fontId="13" fillId="0" borderId="2" xfId="0" applyNumberFormat="1" applyFont="1" applyBorder="1" applyAlignment="1">
      <alignment horizontal="center" vertical="center"/>
    </xf>
    <xf numFmtId="165" fontId="0" fillId="0" borderId="8" xfId="0" applyNumberFormat="1" applyBorder="1" applyAlignment="1" applyProtection="1">
      <alignment horizontal="center" vertical="center"/>
      <protection locked="0"/>
    </xf>
    <xf numFmtId="165" fontId="0" fillId="0" borderId="6" xfId="0" applyNumberFormat="1" applyBorder="1" applyAlignment="1" applyProtection="1">
      <alignment horizontal="center" vertical="center"/>
      <protection locked="0"/>
    </xf>
    <xf numFmtId="165" fontId="10" fillId="3" borderId="2" xfId="0" applyNumberFormat="1" applyFont="1" applyFill="1" applyBorder="1" applyAlignment="1" applyProtection="1">
      <alignment horizontal="center" vertical="center"/>
      <protection locked="0"/>
    </xf>
    <xf numFmtId="165" fontId="6" fillId="0" borderId="2" xfId="0" applyNumberFormat="1" applyFont="1" applyBorder="1" applyAlignment="1" applyProtection="1">
      <alignment horizontal="center" vertical="center"/>
      <protection locked="0"/>
    </xf>
    <xf numFmtId="4" fontId="10" fillId="8" borderId="2" xfId="0" applyNumberFormat="1" applyFont="1" applyFill="1" applyBorder="1" applyAlignment="1">
      <alignment horizontal="center" vertical="center"/>
    </xf>
    <xf numFmtId="166" fontId="10" fillId="8" borderId="2" xfId="0" applyNumberFormat="1" applyFont="1" applyFill="1" applyBorder="1" applyAlignment="1" applyProtection="1">
      <alignment horizontal="center" vertical="center"/>
      <protection locked="0"/>
    </xf>
    <xf numFmtId="165" fontId="0" fillId="8" borderId="2" xfId="0" applyNumberFormat="1" applyFill="1" applyBorder="1" applyAlignment="1">
      <alignment horizontal="center" vertical="center"/>
    </xf>
    <xf numFmtId="0" fontId="0" fillId="8" borderId="2" xfId="0" applyFill="1" applyBorder="1" applyAlignment="1">
      <alignment horizontal="center" vertical="center"/>
    </xf>
    <xf numFmtId="2" fontId="0" fillId="8" borderId="2" xfId="0" applyNumberFormat="1" applyFill="1" applyBorder="1" applyAlignment="1">
      <alignment horizontal="center" vertical="center"/>
    </xf>
    <xf numFmtId="167" fontId="0" fillId="8" borderId="2" xfId="0" applyNumberFormat="1" applyFill="1" applyBorder="1" applyAlignment="1">
      <alignment horizontal="center" vertical="center"/>
    </xf>
    <xf numFmtId="0" fontId="6" fillId="8" borderId="2" xfId="0" applyFont="1" applyFill="1" applyBorder="1" applyAlignment="1">
      <alignment horizontal="center" vertical="center"/>
    </xf>
    <xf numFmtId="0" fontId="8" fillId="8" borderId="2" xfId="0" applyFont="1" applyFill="1" applyBorder="1" applyAlignment="1">
      <alignment horizontal="center" vertical="center"/>
    </xf>
    <xf numFmtId="165" fontId="0" fillId="8" borderId="2" xfId="0" applyNumberFormat="1" applyFill="1" applyBorder="1" applyAlignment="1" applyProtection="1">
      <alignment horizontal="center" vertical="center"/>
      <protection locked="0"/>
    </xf>
    <xf numFmtId="0" fontId="0" fillId="8" borderId="2" xfId="0" applyFill="1" applyBorder="1" applyAlignment="1" applyProtection="1">
      <alignment horizontal="center" vertical="center"/>
      <protection locked="0"/>
    </xf>
    <xf numFmtId="2" fontId="0" fillId="8" borderId="2" xfId="0" applyNumberFormat="1" applyFill="1" applyBorder="1" applyAlignment="1" applyProtection="1">
      <alignment horizontal="center" vertical="center"/>
      <protection locked="0"/>
    </xf>
    <xf numFmtId="165" fontId="8" fillId="8" borderId="2" xfId="0" applyNumberFormat="1" applyFont="1" applyFill="1" applyBorder="1" applyAlignment="1" applyProtection="1">
      <alignment horizontal="center" vertical="center"/>
      <protection locked="0"/>
    </xf>
    <xf numFmtId="0" fontId="6" fillId="8" borderId="2" xfId="0" applyFont="1" applyFill="1" applyBorder="1" applyAlignment="1" applyProtection="1">
      <alignment horizontal="center" vertical="center"/>
      <protection locked="0"/>
    </xf>
    <xf numFmtId="14" fontId="6" fillId="9" borderId="10" xfId="0" applyNumberFormat="1" applyFont="1" applyFill="1" applyBorder="1" applyAlignment="1">
      <alignment horizontal="left"/>
    </xf>
    <xf numFmtId="0" fontId="6" fillId="9" borderId="11" xfId="0" applyFont="1" applyFill="1" applyBorder="1" applyAlignment="1">
      <alignment horizontal="left"/>
    </xf>
    <xf numFmtId="0" fontId="6" fillId="9" borderId="11" xfId="0" applyFont="1" applyFill="1" applyBorder="1" applyAlignment="1">
      <alignment horizontal="center" vertical="center"/>
    </xf>
    <xf numFmtId="0" fontId="6" fillId="9" borderId="12" xfId="0" applyFont="1" applyFill="1" applyBorder="1" applyAlignment="1">
      <alignment horizontal="center" vertical="center"/>
    </xf>
    <xf numFmtId="14" fontId="6" fillId="0" borderId="13" xfId="0" applyNumberFormat="1" applyFont="1" applyBorder="1" applyAlignment="1">
      <alignment horizontal="left"/>
    </xf>
    <xf numFmtId="0" fontId="6" fillId="0" borderId="14" xfId="0" applyFont="1" applyBorder="1" applyAlignment="1">
      <alignment horizontal="left"/>
    </xf>
    <xf numFmtId="0" fontId="6" fillId="10" borderId="13" xfId="0" applyFont="1" applyFill="1" applyBorder="1" applyAlignment="1">
      <alignment horizontal="center" vertical="center"/>
    </xf>
    <xf numFmtId="0" fontId="6" fillId="0" borderId="14" xfId="0" applyFont="1" applyBorder="1" applyAlignment="1">
      <alignment horizontal="center" vertical="center"/>
    </xf>
    <xf numFmtId="0" fontId="6" fillId="0" borderId="14" xfId="0" applyFont="1" applyBorder="1"/>
    <xf numFmtId="0" fontId="6" fillId="10" borderId="1" xfId="0" applyFont="1" applyFill="1" applyBorder="1" applyAlignment="1">
      <alignment horizontal="center" vertical="center"/>
    </xf>
    <xf numFmtId="14" fontId="6" fillId="0" borderId="0" xfId="0" applyNumberFormat="1" applyFont="1" applyAlignment="1">
      <alignment horizontal="left"/>
    </xf>
    <xf numFmtId="0" fontId="6" fillId="0" borderId="13" xfId="0" applyFont="1" applyBorder="1" applyAlignment="1">
      <alignment horizontal="left"/>
    </xf>
    <xf numFmtId="14" fontId="6" fillId="0" borderId="1" xfId="0" applyNumberFormat="1" applyFont="1" applyBorder="1" applyAlignment="1">
      <alignment horizontal="left"/>
    </xf>
    <xf numFmtId="0" fontId="6" fillId="0" borderId="0" xfId="0" applyFont="1" applyAlignment="1">
      <alignment horizontal="center" vertical="center"/>
    </xf>
    <xf numFmtId="0" fontId="6" fillId="0" borderId="13" xfId="0" applyFont="1" applyBorder="1"/>
    <xf numFmtId="0" fontId="6" fillId="0" borderId="15" xfId="0" applyFont="1" applyBorder="1" applyAlignment="1">
      <alignment horizontal="center" vertical="center"/>
    </xf>
    <xf numFmtId="1" fontId="6" fillId="10" borderId="1" xfId="0" applyNumberFormat="1" applyFont="1" applyFill="1" applyBorder="1" applyAlignment="1">
      <alignment horizontal="center" vertical="center"/>
    </xf>
    <xf numFmtId="0" fontId="6" fillId="0" borderId="0" xfId="0" applyFont="1" applyAlignment="1">
      <alignment horizontal="left"/>
    </xf>
    <xf numFmtId="0" fontId="6" fillId="0" borderId="15" xfId="0" applyFont="1" applyBorder="1" applyAlignment="1">
      <alignment horizontal="left"/>
    </xf>
    <xf numFmtId="0" fontId="6" fillId="0" borderId="16" xfId="0" applyFont="1" applyBorder="1" applyAlignment="1">
      <alignment horizontal="left"/>
    </xf>
    <xf numFmtId="0" fontId="0" fillId="5" borderId="2" xfId="0" applyFill="1" applyBorder="1" applyAlignment="1">
      <alignment vertical="center"/>
    </xf>
    <xf numFmtId="0" fontId="0" fillId="3" borderId="0" xfId="0" applyFill="1"/>
    <xf numFmtId="0" fontId="6" fillId="11" borderId="0" xfId="0" applyFont="1" applyFill="1" applyAlignment="1">
      <alignment horizontal="center" vertical="center"/>
    </xf>
    <xf numFmtId="0" fontId="6" fillId="9" borderId="11" xfId="0" applyFont="1" applyFill="1" applyBorder="1" applyAlignment="1">
      <alignment horizontal="left" vertical="center"/>
    </xf>
    <xf numFmtId="0" fontId="0" fillId="3" borderId="2" xfId="0" applyFill="1" applyBorder="1" applyProtection="1">
      <protection locked="0"/>
    </xf>
    <xf numFmtId="0" fontId="0" fillId="3" borderId="3" xfId="0" applyFill="1" applyBorder="1" applyAlignment="1" applyProtection="1">
      <alignment horizontal="center" vertical="center"/>
      <protection locked="0"/>
    </xf>
    <xf numFmtId="166" fontId="6" fillId="3" borderId="4" xfId="0" applyNumberFormat="1" applyFont="1"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1" fontId="0" fillId="3" borderId="2" xfId="0" applyNumberFormat="1" applyFill="1" applyBorder="1" applyAlignment="1" applyProtection="1">
      <alignment horizontal="center" vertical="center"/>
      <protection locked="0"/>
    </xf>
    <xf numFmtId="2" fontId="8" fillId="3" borderId="2" xfId="0" applyNumberFormat="1" applyFont="1" applyFill="1" applyBorder="1" applyAlignment="1" applyProtection="1">
      <alignment horizontal="center" vertical="center"/>
      <protection locked="0"/>
    </xf>
    <xf numFmtId="2" fontId="10" fillId="3" borderId="2" xfId="0" applyNumberFormat="1" applyFont="1" applyFill="1" applyBorder="1" applyAlignment="1" applyProtection="1">
      <alignment horizontal="center" vertical="center"/>
      <protection locked="0"/>
    </xf>
    <xf numFmtId="2" fontId="8" fillId="12" borderId="2" xfId="0" applyNumberFormat="1" applyFont="1" applyFill="1" applyBorder="1" applyAlignment="1" applyProtection="1">
      <alignment horizontal="center" vertical="center"/>
      <protection locked="0"/>
    </xf>
    <xf numFmtId="165" fontId="0" fillId="13" borderId="2" xfId="0" applyNumberFormat="1" applyFill="1" applyBorder="1" applyAlignment="1">
      <alignment horizontal="center" vertical="center"/>
    </xf>
    <xf numFmtId="0" fontId="0" fillId="13" borderId="2" xfId="0" applyFill="1" applyBorder="1" applyAlignment="1">
      <alignment horizontal="center" vertical="center"/>
    </xf>
    <xf numFmtId="2" fontId="0" fillId="13" borderId="2" xfId="0" applyNumberFormat="1" applyFill="1" applyBorder="1" applyAlignment="1">
      <alignment horizontal="center" vertical="center"/>
    </xf>
    <xf numFmtId="4" fontId="0" fillId="13" borderId="2" xfId="0" applyNumberFormat="1" applyFill="1" applyBorder="1" applyAlignment="1">
      <alignment horizontal="center" vertical="center"/>
    </xf>
    <xf numFmtId="167" fontId="0" fillId="13" borderId="2" xfId="0" applyNumberFormat="1" applyFill="1" applyBorder="1" applyAlignment="1">
      <alignment horizontal="center" vertical="center"/>
    </xf>
    <xf numFmtId="0" fontId="6" fillId="13" borderId="2" xfId="0" applyFont="1" applyFill="1" applyBorder="1" applyAlignment="1">
      <alignment horizontal="center" vertical="center"/>
    </xf>
    <xf numFmtId="2" fontId="0" fillId="13" borderId="2" xfId="1" applyNumberFormat="1" applyFont="1" applyFill="1" applyBorder="1" applyAlignment="1" applyProtection="1">
      <alignment horizontal="center" vertical="center"/>
    </xf>
    <xf numFmtId="166" fontId="6" fillId="0" borderId="8" xfId="0" applyNumberFormat="1" applyFont="1" applyBorder="1" applyAlignment="1" applyProtection="1">
      <alignment horizontal="center" vertical="center"/>
      <protection locked="0"/>
    </xf>
    <xf numFmtId="167" fontId="8" fillId="0" borderId="2" xfId="0" applyNumberFormat="1" applyFont="1" applyBorder="1" applyAlignment="1" applyProtection="1">
      <alignment horizontal="center" vertical="center"/>
      <protection locked="0"/>
    </xf>
    <xf numFmtId="0" fontId="0" fillId="14" borderId="2" xfId="0" applyFill="1" applyBorder="1" applyAlignment="1" applyProtection="1">
      <alignment horizontal="center" vertical="center"/>
      <protection locked="0"/>
    </xf>
    <xf numFmtId="2" fontId="0" fillId="14" borderId="2" xfId="0" applyNumberFormat="1" applyFill="1" applyBorder="1" applyAlignment="1" applyProtection="1">
      <alignment horizontal="center" vertical="center"/>
      <protection locked="0"/>
    </xf>
    <xf numFmtId="167" fontId="0" fillId="14" borderId="2" xfId="0" applyNumberFormat="1" applyFill="1" applyBorder="1" applyAlignment="1" applyProtection="1">
      <alignment horizontal="center" vertical="center"/>
      <protection locked="0"/>
    </xf>
    <xf numFmtId="0" fontId="6" fillId="14" borderId="2" xfId="0" applyFont="1" applyFill="1" applyBorder="1" applyAlignment="1" applyProtection="1">
      <alignment horizontal="center" vertical="center"/>
      <protection locked="0"/>
    </xf>
    <xf numFmtId="0" fontId="8" fillId="14" borderId="2" xfId="0" applyFont="1" applyFill="1" applyBorder="1" applyAlignment="1">
      <alignment horizontal="center" vertical="center"/>
    </xf>
    <xf numFmtId="2" fontId="6" fillId="14" borderId="2" xfId="0" applyNumberFormat="1" applyFont="1" applyFill="1" applyBorder="1" applyAlignment="1" applyProtection="1">
      <alignment horizontal="center" vertical="center"/>
      <protection locked="0"/>
    </xf>
    <xf numFmtId="4" fontId="0" fillId="14" borderId="2" xfId="0" applyNumberFormat="1" applyFill="1" applyBorder="1" applyAlignment="1" applyProtection="1">
      <alignment horizontal="center" vertical="center"/>
      <protection locked="0"/>
    </xf>
    <xf numFmtId="165" fontId="0" fillId="14" borderId="17" xfId="0" applyNumberFormat="1" applyFill="1" applyBorder="1" applyAlignment="1" applyProtection="1">
      <alignment horizontal="center" vertical="center"/>
      <protection locked="0"/>
    </xf>
    <xf numFmtId="0" fontId="0" fillId="14" borderId="18" xfId="0" applyFill="1" applyBorder="1" applyAlignment="1" applyProtection="1">
      <alignment horizontal="center" vertical="center"/>
      <protection locked="0"/>
    </xf>
    <xf numFmtId="2" fontId="0" fillId="14" borderId="18" xfId="0" applyNumberFormat="1" applyFill="1" applyBorder="1" applyAlignment="1" applyProtection="1">
      <alignment horizontal="center" vertical="center"/>
      <protection locked="0"/>
    </xf>
    <xf numFmtId="167" fontId="0" fillId="14" borderId="18" xfId="0" applyNumberFormat="1" applyFill="1" applyBorder="1" applyAlignment="1" applyProtection="1">
      <alignment horizontal="center" vertical="center"/>
      <protection locked="0"/>
    </xf>
    <xf numFmtId="0" fontId="6" fillId="14" borderId="18" xfId="0" applyFont="1" applyFill="1" applyBorder="1" applyAlignment="1" applyProtection="1">
      <alignment horizontal="center" vertical="center"/>
      <protection locked="0"/>
    </xf>
    <xf numFmtId="0" fontId="8" fillId="14" borderId="18" xfId="0" applyFont="1" applyFill="1" applyBorder="1" applyAlignment="1">
      <alignment horizontal="center" vertical="center"/>
    </xf>
    <xf numFmtId="2" fontId="0" fillId="14" borderId="19" xfId="0" applyNumberFormat="1" applyFill="1" applyBorder="1" applyAlignment="1" applyProtection="1">
      <alignment horizontal="center" vertical="center"/>
      <protection locked="0"/>
    </xf>
    <xf numFmtId="165" fontId="0" fillId="14" borderId="20" xfId="0" applyNumberFormat="1" applyFill="1" applyBorder="1" applyAlignment="1" applyProtection="1">
      <alignment horizontal="center" vertical="center"/>
      <protection locked="0"/>
    </xf>
    <xf numFmtId="2" fontId="0" fillId="14" borderId="21" xfId="0" applyNumberFormat="1" applyFill="1" applyBorder="1" applyAlignment="1" applyProtection="1">
      <alignment horizontal="center" vertical="center"/>
      <protection locked="0"/>
    </xf>
    <xf numFmtId="165" fontId="0" fillId="14" borderId="22" xfId="0" applyNumberFormat="1" applyFill="1" applyBorder="1" applyAlignment="1" applyProtection="1">
      <alignment horizontal="center" vertical="center"/>
      <protection locked="0"/>
    </xf>
    <xf numFmtId="4" fontId="0" fillId="14" borderId="23" xfId="0" applyNumberFormat="1" applyFill="1" applyBorder="1" applyAlignment="1" applyProtection="1">
      <alignment horizontal="center" vertical="center"/>
      <protection locked="0"/>
    </xf>
    <xf numFmtId="0" fontId="0" fillId="14" borderId="23" xfId="0" applyFill="1" applyBorder="1" applyAlignment="1" applyProtection="1">
      <alignment horizontal="center" vertical="center"/>
      <protection locked="0"/>
    </xf>
    <xf numFmtId="2" fontId="0" fillId="14" borderId="23" xfId="0" applyNumberFormat="1" applyFill="1" applyBorder="1" applyAlignment="1" applyProtection="1">
      <alignment horizontal="center" vertical="center"/>
      <protection locked="0"/>
    </xf>
    <xf numFmtId="167" fontId="0" fillId="14" borderId="23" xfId="0" applyNumberFormat="1" applyFill="1" applyBorder="1" applyAlignment="1" applyProtection="1">
      <alignment horizontal="center" vertical="center"/>
      <protection locked="0"/>
    </xf>
    <xf numFmtId="0" fontId="6" fillId="14" borderId="23" xfId="0" applyFont="1" applyFill="1" applyBorder="1" applyAlignment="1" applyProtection="1">
      <alignment horizontal="center" vertical="center"/>
      <protection locked="0"/>
    </xf>
    <xf numFmtId="0" fontId="8" fillId="14" borderId="23" xfId="0" applyFont="1" applyFill="1" applyBorder="1" applyAlignment="1">
      <alignment horizontal="center" vertical="center"/>
    </xf>
    <xf numFmtId="2" fontId="0" fillId="14" borderId="24" xfId="0" applyNumberFormat="1" applyFill="1" applyBorder="1" applyAlignment="1" applyProtection="1">
      <alignment horizontal="center" vertical="center"/>
      <protection locked="0"/>
    </xf>
    <xf numFmtId="166" fontId="0" fillId="7" borderId="8" xfId="0" applyNumberFormat="1" applyFill="1" applyBorder="1" applyAlignment="1" applyProtection="1">
      <alignment horizontal="center" vertical="center"/>
      <protection locked="0"/>
    </xf>
    <xf numFmtId="0" fontId="0" fillId="7" borderId="8" xfId="0" applyFill="1" applyBorder="1" applyAlignment="1" applyProtection="1">
      <alignment horizontal="center" vertical="center"/>
      <protection locked="0"/>
    </xf>
    <xf numFmtId="2" fontId="0" fillId="7" borderId="8" xfId="0" applyNumberFormat="1" applyFill="1" applyBorder="1" applyAlignment="1" applyProtection="1">
      <alignment horizontal="center" vertical="center"/>
      <protection locked="0"/>
    </xf>
    <xf numFmtId="167" fontId="0" fillId="7" borderId="8" xfId="0" applyNumberFormat="1" applyFill="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8" fillId="0" borderId="8" xfId="0" applyFont="1" applyBorder="1" applyAlignment="1">
      <alignment horizontal="center" vertical="center"/>
    </xf>
    <xf numFmtId="166" fontId="0" fillId="7" borderId="6" xfId="0" applyNumberFormat="1" applyFill="1" applyBorder="1" applyAlignment="1" applyProtection="1">
      <alignment horizontal="center" vertical="center"/>
      <protection locked="0"/>
    </xf>
    <xf numFmtId="0" fontId="0" fillId="7" borderId="6" xfId="0" applyFill="1" applyBorder="1" applyAlignment="1" applyProtection="1">
      <alignment horizontal="center" vertical="center"/>
      <protection locked="0"/>
    </xf>
    <xf numFmtId="2" fontId="0" fillId="7" borderId="6" xfId="0" applyNumberFormat="1" applyFill="1" applyBorder="1" applyAlignment="1" applyProtection="1">
      <alignment horizontal="center" vertical="center"/>
      <protection locked="0"/>
    </xf>
    <xf numFmtId="167" fontId="0" fillId="7" borderId="6" xfId="0" applyNumberFormat="1" applyFill="1" applyBorder="1" applyAlignment="1" applyProtection="1">
      <alignment horizontal="center" vertical="center"/>
      <protection locked="0"/>
    </xf>
    <xf numFmtId="2" fontId="0" fillId="0" borderId="6" xfId="0" applyNumberForma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8" fillId="0" borderId="6" xfId="0" applyFont="1" applyBorder="1" applyAlignment="1">
      <alignment horizontal="center" vertical="center"/>
    </xf>
    <xf numFmtId="0" fontId="8" fillId="14" borderId="18" xfId="0" applyFont="1" applyFill="1" applyBorder="1" applyAlignment="1" applyProtection="1">
      <alignment horizontal="center" vertical="center"/>
      <protection locked="0"/>
    </xf>
    <xf numFmtId="0" fontId="8" fillId="14" borderId="2" xfId="0" applyFont="1" applyFill="1" applyBorder="1" applyAlignment="1" applyProtection="1">
      <alignment horizontal="center" vertical="center"/>
      <protection locked="0"/>
    </xf>
    <xf numFmtId="4" fontId="8" fillId="14" borderId="2" xfId="0" applyNumberFormat="1" applyFont="1" applyFill="1" applyBorder="1" applyAlignment="1" applyProtection="1">
      <alignment horizontal="center" vertical="center"/>
      <protection locked="0"/>
    </xf>
    <xf numFmtId="4" fontId="8" fillId="14" borderId="23" xfId="0" applyNumberFormat="1" applyFont="1" applyFill="1" applyBorder="1" applyAlignment="1" applyProtection="1">
      <alignment horizontal="center" vertical="center"/>
      <protection locked="0"/>
    </xf>
    <xf numFmtId="165" fontId="1" fillId="2" borderId="25" xfId="0" applyNumberFormat="1" applyFont="1" applyFill="1" applyBorder="1" applyAlignment="1">
      <alignment horizontal="center" vertical="center" wrapText="1"/>
    </xf>
    <xf numFmtId="164" fontId="1" fillId="2" borderId="25" xfId="0" applyNumberFormat="1" applyFont="1" applyFill="1" applyBorder="1" applyAlignment="1">
      <alignment horizontal="center" vertical="center" wrapText="1"/>
    </xf>
    <xf numFmtId="0" fontId="0" fillId="2" borderId="25" xfId="0" applyFill="1" applyBorder="1" applyAlignment="1">
      <alignment horizontal="center" vertical="center" wrapText="1"/>
    </xf>
    <xf numFmtId="2" fontId="0" fillId="2" borderId="25" xfId="0" applyNumberFormat="1" applyFill="1" applyBorder="1" applyAlignment="1">
      <alignment horizontal="center" vertical="center" wrapText="1"/>
    </xf>
    <xf numFmtId="0" fontId="0" fillId="3" borderId="25" xfId="0" applyFill="1" applyBorder="1" applyAlignment="1">
      <alignment horizontal="center" vertical="center" wrapText="1"/>
    </xf>
    <xf numFmtId="0" fontId="12" fillId="2" borderId="25" xfId="0" applyFont="1" applyFill="1" applyBorder="1" applyAlignment="1">
      <alignment horizontal="center" vertical="center" wrapText="1"/>
    </xf>
    <xf numFmtId="2" fontId="0" fillId="2" borderId="25" xfId="1" applyNumberFormat="1" applyFont="1" applyFill="1" applyBorder="1" applyAlignment="1" applyProtection="1">
      <alignment horizontal="center" vertical="center" wrapText="1"/>
    </xf>
    <xf numFmtId="0" fontId="15" fillId="0" borderId="2" xfId="0" applyFont="1" applyBorder="1" applyAlignment="1" applyProtection="1">
      <alignment horizontal="center" vertical="center"/>
      <protection locked="0"/>
    </xf>
    <xf numFmtId="168" fontId="8" fillId="8" borderId="2" xfId="0" applyNumberFormat="1" applyFont="1" applyFill="1" applyBorder="1" applyAlignment="1">
      <alignment horizontal="center" vertical="center"/>
    </xf>
    <xf numFmtId="4" fontId="0" fillId="8" borderId="2" xfId="0" applyNumberFormat="1" applyFill="1" applyBorder="1" applyAlignment="1">
      <alignment horizontal="center" vertical="center"/>
    </xf>
    <xf numFmtId="0" fontId="0" fillId="8" borderId="2" xfId="0" applyFill="1" applyBorder="1"/>
    <xf numFmtId="167" fontId="8" fillId="3" borderId="2" xfId="0" applyNumberFormat="1" applyFont="1" applyFill="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6" fillId="3" borderId="2" xfId="0" applyFont="1" applyFill="1" applyBorder="1" applyAlignment="1">
      <alignment horizontal="center"/>
    </xf>
    <xf numFmtId="0" fontId="9" fillId="3" borderId="2" xfId="0" applyFont="1" applyFill="1" applyBorder="1" applyAlignment="1" applyProtection="1">
      <alignment horizontal="center" vertical="center"/>
      <protection locked="0"/>
    </xf>
    <xf numFmtId="165" fontId="0" fillId="3" borderId="8" xfId="0" applyNumberFormat="1" applyFill="1" applyBorder="1" applyAlignment="1" applyProtection="1">
      <alignment horizontal="center" vertical="center"/>
      <protection locked="0"/>
    </xf>
    <xf numFmtId="0" fontId="16" fillId="3" borderId="2" xfId="0" applyFont="1" applyFill="1" applyBorder="1" applyAlignment="1">
      <alignment horizontal="center"/>
    </xf>
  </cellXfs>
  <cellStyles count="3">
    <cellStyle name="Comma" xfId="1" builtinId="3"/>
    <cellStyle name="Normal" xfId="0" builtinId="0"/>
    <cellStyle name="Percent" xfId="2"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hil  Mays" id="{2A35FEC3-05EF-4C36-8379-4329443F2A50}" userId="Phil  Mays" providerId="None"/>
  <person displayName="JT Thomas" id="{B782B8AE-A63F-4230-9B44-21C4394B39BE}" userId="S::jtthomas@whiskeyhouse.com::454b4332-5f1b-46bc-9df8-a4ab855341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16" dT="2024-12-30T13:28:57.24" personId="{2A35FEC3-05EF-4C36-8379-4329443F2A50}" id="{7BA1F470-C5AE-435B-8165-029CA2938714}">
    <text>For Chicken Cock</text>
  </threadedComment>
  <threadedComment ref="C316" dT="2024-12-30T21:19:09.98" personId="{B782B8AE-A63F-4230-9B44-21C4394B39BE}" id="{743C2817-D925-4333-B42C-2AD72F41B8CA}" parentId="{7BA1F470-C5AE-435B-8165-029CA2938714}">
    <text>Grain &amp; Barrel Code?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FAAC-B02D-4BEB-B35F-F45E26578693}">
  <sheetPr codeName="Sheet1">
    <pageSetUpPr fitToPage="1"/>
  </sheetPr>
  <dimension ref="A1:BL319"/>
  <sheetViews>
    <sheetView showGridLines="0" tabSelected="1" zoomScaleNormal="100" workbookViewId="0">
      <pane ySplit="1" topLeftCell="O2" activePane="bottomLeft" state="frozen"/>
      <selection pane="bottomLeft" activeCell="AF1" sqref="AF1:AF1048576"/>
      <selection activeCell="D23" sqref="D23"/>
    </sheetView>
  </sheetViews>
  <sheetFormatPr defaultColWidth="8.7109375" defaultRowHeight="15"/>
  <cols>
    <col min="1" max="1" width="4.7109375" bestFit="1" customWidth="1"/>
    <col min="2" max="2" width="19.140625" style="5" bestFit="1" customWidth="1"/>
    <col min="3" max="3" width="17.42578125" style="1" customWidth="1"/>
    <col min="4" max="4" width="11.7109375" customWidth="1"/>
    <col min="5" max="5" width="15.7109375" hidden="1" customWidth="1"/>
    <col min="6" max="6" width="16.42578125" style="2" hidden="1" customWidth="1"/>
    <col min="7" max="7" width="15.42578125" hidden="1" customWidth="1"/>
    <col min="8" max="8" width="13.7109375" bestFit="1" customWidth="1"/>
    <col min="9" max="9" width="16.42578125" customWidth="1"/>
    <col min="10" max="10" width="15.7109375" hidden="1" customWidth="1"/>
    <col min="11" max="11" width="8.7109375" style="2" customWidth="1"/>
    <col min="12" max="12" width="11" style="2" customWidth="1"/>
    <col min="13" max="13" width="16.7109375" customWidth="1"/>
    <col min="14" max="14" width="17.7109375" customWidth="1"/>
    <col min="15" max="15" width="13.7109375" bestFit="1" customWidth="1"/>
    <col min="16" max="16" width="14.7109375" customWidth="1"/>
    <col min="17" max="17" width="15.7109375" customWidth="1"/>
    <col min="18" max="18" width="15.140625" customWidth="1"/>
    <col min="19" max="19" width="8.7109375" customWidth="1"/>
    <col min="20" max="20" width="11.7109375" customWidth="1"/>
    <col min="21" max="21" width="10.7109375" customWidth="1"/>
    <col min="22" max="22" width="8.7109375" hidden="1" customWidth="1"/>
    <col min="23" max="23" width="11.42578125" hidden="1" customWidth="1"/>
    <col min="24" max="24" width="9.28515625" hidden="1" customWidth="1"/>
    <col min="25" max="25" width="18.140625" hidden="1" customWidth="1"/>
    <col min="26" max="26" width="15.42578125" hidden="1" customWidth="1"/>
    <col min="27" max="27" width="10.140625" hidden="1" customWidth="1"/>
    <col min="28" max="28" width="10.7109375" hidden="1" customWidth="1"/>
    <col min="29" max="29" width="16.42578125" hidden="1" customWidth="1"/>
    <col min="30" max="30" width="51.7109375" bestFit="1" customWidth="1"/>
    <col min="31" max="31" width="19.140625" customWidth="1"/>
    <col min="32" max="32" width="24.5703125" customWidth="1"/>
    <col min="33" max="33" width="20.85546875" customWidth="1"/>
    <col min="34" max="34" width="18.85546875" customWidth="1"/>
  </cols>
  <sheetData>
    <row r="1" spans="2:33" ht="43.5">
      <c r="B1" s="236" t="s">
        <v>0</v>
      </c>
      <c r="C1" s="237" t="s">
        <v>1</v>
      </c>
      <c r="D1" s="238" t="s">
        <v>2</v>
      </c>
      <c r="E1" s="238" t="s">
        <v>3</v>
      </c>
      <c r="F1" s="239" t="s">
        <v>4</v>
      </c>
      <c r="G1" s="238" t="s">
        <v>5</v>
      </c>
      <c r="H1" s="238" t="s">
        <v>6</v>
      </c>
      <c r="I1" s="238" t="s">
        <v>7</v>
      </c>
      <c r="J1" s="238" t="s">
        <v>8</v>
      </c>
      <c r="K1" s="239" t="s">
        <v>9</v>
      </c>
      <c r="L1" s="239" t="s">
        <v>10</v>
      </c>
      <c r="M1" s="238" t="s">
        <v>11</v>
      </c>
      <c r="N1" s="240" t="s">
        <v>12</v>
      </c>
      <c r="O1" s="238" t="s">
        <v>13</v>
      </c>
      <c r="P1" s="238" t="s">
        <v>14</v>
      </c>
      <c r="Q1" s="238" t="s">
        <v>15</v>
      </c>
      <c r="R1" s="238" t="s">
        <v>16</v>
      </c>
      <c r="S1" s="241" t="s">
        <v>17</v>
      </c>
      <c r="T1" s="238" t="s">
        <v>18</v>
      </c>
      <c r="U1" s="238" t="s">
        <v>19</v>
      </c>
      <c r="V1" s="238" t="s">
        <v>20</v>
      </c>
      <c r="W1" s="238" t="s">
        <v>21</v>
      </c>
      <c r="X1" s="242" t="s">
        <v>22</v>
      </c>
      <c r="Y1" s="238" t="s">
        <v>23</v>
      </c>
      <c r="Z1" s="238" t="s">
        <v>24</v>
      </c>
      <c r="AA1" s="238" t="s">
        <v>25</v>
      </c>
      <c r="AB1" s="238" t="s">
        <v>26</v>
      </c>
      <c r="AC1" s="238" t="s">
        <v>27</v>
      </c>
      <c r="AD1" s="238" t="s">
        <v>28</v>
      </c>
      <c r="AE1" t="s">
        <v>29</v>
      </c>
      <c r="AF1" t="s">
        <v>30</v>
      </c>
      <c r="AG1" t="s">
        <v>31</v>
      </c>
    </row>
    <row r="2" spans="2:33">
      <c r="B2" s="60">
        <v>45488</v>
      </c>
      <c r="C2" s="7" t="s">
        <v>32</v>
      </c>
      <c r="D2" s="7" t="s">
        <v>33</v>
      </c>
      <c r="E2" s="7" t="s">
        <v>34</v>
      </c>
      <c r="F2" s="8">
        <v>131.298</v>
      </c>
      <c r="G2" s="7" t="s">
        <v>34</v>
      </c>
      <c r="H2" s="8">
        <v>69141.22</v>
      </c>
      <c r="I2" s="7" t="s">
        <v>35</v>
      </c>
      <c r="J2" s="7" t="s">
        <v>32</v>
      </c>
      <c r="K2" s="8">
        <v>124.8</v>
      </c>
      <c r="L2" s="8">
        <v>7.4889999999999999</v>
      </c>
      <c r="M2" s="9">
        <f>(H2/L2)</f>
        <v>9232.3701428762179</v>
      </c>
      <c r="N2" s="10">
        <f>O2*(K2/100)</f>
        <v>11423.4432</v>
      </c>
      <c r="O2" s="10">
        <v>9153.4</v>
      </c>
      <c r="P2" s="7" t="s">
        <v>36</v>
      </c>
      <c r="Q2" s="7" t="s">
        <v>37</v>
      </c>
      <c r="R2" s="7">
        <v>169</v>
      </c>
      <c r="S2" s="7"/>
      <c r="T2" s="8">
        <f>(N2-V2)/R2</f>
        <v>66.91386508875739</v>
      </c>
      <c r="U2" s="8">
        <f>(O2-V2)/R2</f>
        <v>53.481656804733724</v>
      </c>
      <c r="V2" s="7">
        <v>115</v>
      </c>
      <c r="W2" s="7" t="s">
        <v>38</v>
      </c>
      <c r="X2" s="7"/>
      <c r="Y2" s="7"/>
      <c r="Z2" s="7"/>
      <c r="AA2" s="7"/>
      <c r="AB2" s="7"/>
      <c r="AC2" s="7" t="s">
        <v>39</v>
      </c>
      <c r="AD2" s="11" t="s">
        <v>40</v>
      </c>
    </row>
    <row r="3" spans="2:33">
      <c r="B3" s="62">
        <v>45489</v>
      </c>
      <c r="C3" s="63" t="s">
        <v>41</v>
      </c>
      <c r="D3" s="63" t="s">
        <v>42</v>
      </c>
      <c r="E3" s="63" t="s">
        <v>34</v>
      </c>
      <c r="F3" s="64">
        <v>133.83000000000001</v>
      </c>
      <c r="G3" s="63" t="s">
        <v>43</v>
      </c>
      <c r="H3" s="64">
        <v>46400.5</v>
      </c>
      <c r="I3" s="63" t="s">
        <v>35</v>
      </c>
      <c r="J3" s="63" t="s">
        <v>41</v>
      </c>
      <c r="K3" s="64">
        <v>125</v>
      </c>
      <c r="L3" s="64">
        <v>7.4630000000000001</v>
      </c>
      <c r="M3" s="65">
        <f>(H3/L3)</f>
        <v>6217.4058689535041</v>
      </c>
      <c r="N3" s="64">
        <v>7786.68</v>
      </c>
      <c r="O3" s="64">
        <f t="shared" ref="O3:O19" si="0">H3/L3</f>
        <v>6217.4058689535041</v>
      </c>
      <c r="P3" s="63" t="s">
        <v>36</v>
      </c>
      <c r="Q3" s="63" t="s">
        <v>37</v>
      </c>
      <c r="R3" s="63">
        <v>116</v>
      </c>
      <c r="S3" s="63"/>
      <c r="T3" s="64">
        <f>(N3-V3)/R3</f>
        <v>67.12655172413794</v>
      </c>
      <c r="U3" s="64">
        <f>(O3-V3)/R3</f>
        <v>53.598326456495727</v>
      </c>
      <c r="V3" s="63"/>
      <c r="W3" s="63"/>
      <c r="X3" s="63"/>
      <c r="Y3" s="63"/>
      <c r="Z3" s="63"/>
      <c r="AA3" s="63"/>
      <c r="AB3" s="63"/>
      <c r="AC3" s="63" t="s">
        <v>39</v>
      </c>
      <c r="AD3" s="66"/>
    </row>
    <row r="4" spans="2:33">
      <c r="B4" s="62">
        <v>45489</v>
      </c>
      <c r="C4" s="63" t="s">
        <v>41</v>
      </c>
      <c r="D4" s="63" t="s">
        <v>44</v>
      </c>
      <c r="E4" s="63" t="s">
        <v>45</v>
      </c>
      <c r="F4" s="64">
        <v>133.83000000000001</v>
      </c>
      <c r="G4" s="63" t="s">
        <v>43</v>
      </c>
      <c r="H4" s="64">
        <v>35428.959999999999</v>
      </c>
      <c r="I4" s="63" t="s">
        <v>35</v>
      </c>
      <c r="J4" s="63" t="s">
        <v>41</v>
      </c>
      <c r="K4" s="64">
        <v>125</v>
      </c>
      <c r="L4" s="64">
        <v>7.46</v>
      </c>
      <c r="M4" s="65">
        <f t="shared" ref="M4:M19" si="1">(H4/L4)</f>
        <v>4749.1903485254688</v>
      </c>
      <c r="N4" s="64">
        <v>5947.89</v>
      </c>
      <c r="O4" s="64">
        <f t="shared" si="0"/>
        <v>4749.1903485254688</v>
      </c>
      <c r="P4" s="63" t="s">
        <v>46</v>
      </c>
      <c r="Q4" s="63" t="s">
        <v>37</v>
      </c>
      <c r="R4" s="63">
        <v>88</v>
      </c>
      <c r="S4" s="63"/>
      <c r="T4" s="64">
        <f>(N4-V4)/R4</f>
        <v>67.021477272727282</v>
      </c>
      <c r="U4" s="64">
        <f>(O4-V4)/R4</f>
        <v>53.399890324153056</v>
      </c>
      <c r="V4" s="63">
        <v>50</v>
      </c>
      <c r="W4" s="63"/>
      <c r="X4" s="63"/>
      <c r="Y4" s="63"/>
      <c r="Z4" s="63"/>
      <c r="AA4" s="63"/>
      <c r="AB4" s="63"/>
      <c r="AC4" s="63" t="s">
        <v>39</v>
      </c>
      <c r="AD4" s="66"/>
    </row>
    <row r="5" spans="2:33">
      <c r="B5" s="62">
        <v>45490</v>
      </c>
      <c r="C5" s="63" t="s">
        <v>41</v>
      </c>
      <c r="D5" s="63" t="s">
        <v>47</v>
      </c>
      <c r="E5" s="63" t="s">
        <v>45</v>
      </c>
      <c r="F5" s="64">
        <v>144.04</v>
      </c>
      <c r="G5" s="63" t="s">
        <v>43</v>
      </c>
      <c r="H5" s="68">
        <f>86590-7665</f>
        <v>78925</v>
      </c>
      <c r="I5" s="63" t="s">
        <v>35</v>
      </c>
      <c r="J5" s="63" t="s">
        <v>41</v>
      </c>
      <c r="K5" s="64">
        <v>124.99</v>
      </c>
      <c r="L5" s="64">
        <v>7.48</v>
      </c>
      <c r="M5" s="65">
        <f>(H5/L5)</f>
        <v>10551.470588235294</v>
      </c>
      <c r="N5" s="64">
        <f>(M5*(K5/100))</f>
        <v>13188.283088235294</v>
      </c>
      <c r="O5" s="64">
        <f t="shared" si="0"/>
        <v>10551.470588235294</v>
      </c>
      <c r="P5" s="63" t="s">
        <v>46</v>
      </c>
      <c r="Q5" s="63" t="s">
        <v>37</v>
      </c>
      <c r="R5" s="63">
        <v>195</v>
      </c>
      <c r="S5" s="63"/>
      <c r="T5" s="64">
        <f t="shared" ref="T5:T51" si="2">(N5-V5)/R5</f>
        <v>67.632220965309202</v>
      </c>
      <c r="U5" s="64">
        <f>(O5-V5)/R5</f>
        <v>54.110105580693812</v>
      </c>
      <c r="V5" s="63"/>
      <c r="W5" s="63"/>
      <c r="X5" s="63"/>
      <c r="Y5" s="63"/>
      <c r="Z5" s="63"/>
      <c r="AA5" s="63"/>
      <c r="AB5" s="63"/>
      <c r="AC5" s="63" t="s">
        <v>39</v>
      </c>
      <c r="AD5" s="66"/>
    </row>
    <row r="6" spans="2:33">
      <c r="B6" s="62">
        <v>45491</v>
      </c>
      <c r="C6" s="63" t="s">
        <v>41</v>
      </c>
      <c r="D6" s="63" t="s">
        <v>48</v>
      </c>
      <c r="E6" s="63" t="s">
        <v>45</v>
      </c>
      <c r="F6" s="64">
        <v>139.05000000000001</v>
      </c>
      <c r="G6" s="63" t="s">
        <v>34</v>
      </c>
      <c r="H6" s="69">
        <v>80995</v>
      </c>
      <c r="I6" s="63" t="s">
        <v>35</v>
      </c>
      <c r="J6" s="63" t="s">
        <v>41</v>
      </c>
      <c r="K6" s="64">
        <v>125</v>
      </c>
      <c r="L6" s="64">
        <v>7.53</v>
      </c>
      <c r="M6" s="65">
        <f t="shared" si="1"/>
        <v>10756.308100929615</v>
      </c>
      <c r="N6" s="64">
        <v>13451.84</v>
      </c>
      <c r="O6" s="64">
        <f t="shared" si="0"/>
        <v>10756.308100929615</v>
      </c>
      <c r="P6" s="63" t="s">
        <v>46</v>
      </c>
      <c r="Q6" s="63" t="s">
        <v>37</v>
      </c>
      <c r="R6" s="63">
        <v>201</v>
      </c>
      <c r="S6" s="63"/>
      <c r="T6" s="64">
        <f t="shared" si="2"/>
        <v>66.924577114427862</v>
      </c>
      <c r="U6" s="64">
        <f t="shared" ref="U6:U52" si="3">(O6-V6)/R6</f>
        <v>53.513970651391119</v>
      </c>
      <c r="V6" s="63"/>
      <c r="W6" s="63"/>
      <c r="X6" s="63"/>
      <c r="Y6" s="63"/>
      <c r="Z6" s="63"/>
      <c r="AA6" s="63"/>
      <c r="AB6" s="63"/>
      <c r="AC6" s="63" t="s">
        <v>39</v>
      </c>
      <c r="AD6" s="66"/>
    </row>
    <row r="7" spans="2:33">
      <c r="B7" s="62">
        <v>45492</v>
      </c>
      <c r="C7" s="63" t="s">
        <v>41</v>
      </c>
      <c r="D7" s="63" t="s">
        <v>49</v>
      </c>
      <c r="E7" s="63" t="s">
        <v>45</v>
      </c>
      <c r="F7" s="64">
        <v>141.19</v>
      </c>
      <c r="G7" s="63" t="s">
        <v>43</v>
      </c>
      <c r="H7" s="69">
        <v>78075</v>
      </c>
      <c r="I7" s="63" t="s">
        <v>35</v>
      </c>
      <c r="J7" s="63" t="s">
        <v>41</v>
      </c>
      <c r="K7" s="64">
        <v>124.7</v>
      </c>
      <c r="L7" s="64">
        <v>7.49</v>
      </c>
      <c r="M7" s="65">
        <f t="shared" si="1"/>
        <v>10423.898531375167</v>
      </c>
      <c r="N7" s="64">
        <f t="shared" ref="N7:N52" si="4">(M7*(K7/100))</f>
        <v>12998.601468624835</v>
      </c>
      <c r="O7" s="64">
        <f t="shared" si="0"/>
        <v>10423.898531375167</v>
      </c>
      <c r="P7" s="63" t="s">
        <v>46</v>
      </c>
      <c r="Q7" s="63" t="s">
        <v>37</v>
      </c>
      <c r="R7" s="63">
        <v>192</v>
      </c>
      <c r="S7" s="63"/>
      <c r="T7" s="64">
        <f t="shared" si="2"/>
        <v>67.701049315754346</v>
      </c>
      <c r="U7" s="64">
        <f t="shared" si="3"/>
        <v>54.291138184245661</v>
      </c>
      <c r="V7" s="63"/>
      <c r="W7" s="63"/>
      <c r="X7" s="63"/>
      <c r="Y7" s="63"/>
      <c r="Z7" s="63"/>
      <c r="AA7" s="63"/>
      <c r="AB7" s="63"/>
      <c r="AC7" s="63" t="s">
        <v>39</v>
      </c>
      <c r="AD7" s="66"/>
    </row>
    <row r="8" spans="2:33">
      <c r="B8" s="62">
        <v>45492</v>
      </c>
      <c r="C8" s="63" t="s">
        <v>41</v>
      </c>
      <c r="D8" s="63" t="s">
        <v>50</v>
      </c>
      <c r="E8" s="63" t="s">
        <v>45</v>
      </c>
      <c r="F8" s="64">
        <v>139.05000000000001</v>
      </c>
      <c r="G8" s="63" t="s">
        <v>34</v>
      </c>
      <c r="H8" s="64">
        <v>9275</v>
      </c>
      <c r="I8" s="63" t="s">
        <v>35</v>
      </c>
      <c r="J8" s="63" t="s">
        <v>41</v>
      </c>
      <c r="K8" s="64">
        <v>125</v>
      </c>
      <c r="L8" s="64">
        <v>7.53</v>
      </c>
      <c r="M8" s="65">
        <f t="shared" si="1"/>
        <v>1231.7397078353254</v>
      </c>
      <c r="N8" s="64">
        <v>1540.41</v>
      </c>
      <c r="O8" s="64">
        <f t="shared" si="0"/>
        <v>1231.7397078353254</v>
      </c>
      <c r="P8" s="63" t="s">
        <v>46</v>
      </c>
      <c r="Q8" s="63" t="s">
        <v>37</v>
      </c>
      <c r="R8" s="63">
        <v>23</v>
      </c>
      <c r="S8" s="63"/>
      <c r="T8" s="64">
        <f t="shared" si="2"/>
        <v>66.974347826086955</v>
      </c>
      <c r="U8" s="64">
        <f t="shared" si="3"/>
        <v>53.553900340666317</v>
      </c>
      <c r="V8" s="63"/>
      <c r="W8" s="63"/>
      <c r="X8" s="63"/>
      <c r="Y8" s="63"/>
      <c r="Z8" s="63"/>
      <c r="AA8" s="63"/>
      <c r="AB8" s="63"/>
      <c r="AC8" s="63" t="s">
        <v>39</v>
      </c>
      <c r="AD8" s="66"/>
    </row>
    <row r="9" spans="2:33">
      <c r="B9" s="62">
        <v>45495</v>
      </c>
      <c r="C9" s="63" t="s">
        <v>41</v>
      </c>
      <c r="D9" s="63" t="s">
        <v>51</v>
      </c>
      <c r="E9" s="63" t="s">
        <v>45</v>
      </c>
      <c r="F9" s="64">
        <v>140.6</v>
      </c>
      <c r="G9" s="63" t="s">
        <v>43</v>
      </c>
      <c r="H9" s="64">
        <f>85400-70</f>
        <v>85330</v>
      </c>
      <c r="I9" s="63" t="s">
        <v>35</v>
      </c>
      <c r="J9" s="63" t="s">
        <v>41</v>
      </c>
      <c r="K9" s="64">
        <v>125.01</v>
      </c>
      <c r="L9" s="64">
        <v>7.49</v>
      </c>
      <c r="M9" s="65">
        <f t="shared" si="1"/>
        <v>11392.523364485982</v>
      </c>
      <c r="N9" s="64">
        <f t="shared" si="4"/>
        <v>14241.793457943926</v>
      </c>
      <c r="O9" s="64">
        <f t="shared" si="0"/>
        <v>11392.523364485982</v>
      </c>
      <c r="P9" s="63" t="s">
        <v>46</v>
      </c>
      <c r="Q9" s="63" t="s">
        <v>37</v>
      </c>
      <c r="R9" s="63">
        <v>213</v>
      </c>
      <c r="S9" s="63"/>
      <c r="T9" s="64">
        <f t="shared" si="2"/>
        <v>66.862880084243784</v>
      </c>
      <c r="U9" s="64">
        <f t="shared" si="3"/>
        <v>53.4860251853802</v>
      </c>
      <c r="V9" s="63"/>
      <c r="W9" s="63"/>
      <c r="X9" s="63"/>
      <c r="Y9" s="63"/>
      <c r="Z9" s="63"/>
      <c r="AA9" s="63"/>
      <c r="AB9" s="63"/>
      <c r="AC9" s="63" t="s">
        <v>39</v>
      </c>
      <c r="AD9" s="66"/>
    </row>
    <row r="10" spans="2:33">
      <c r="B10" s="62">
        <v>45495</v>
      </c>
      <c r="C10" s="63" t="s">
        <v>41</v>
      </c>
      <c r="D10" s="63" t="s">
        <v>52</v>
      </c>
      <c r="E10" s="63" t="s">
        <v>45</v>
      </c>
      <c r="F10" s="64">
        <v>140.24</v>
      </c>
      <c r="G10" s="63" t="s">
        <v>34</v>
      </c>
      <c r="H10" s="64">
        <f>80655-41220</f>
        <v>39435</v>
      </c>
      <c r="I10" s="63" t="s">
        <v>35</v>
      </c>
      <c r="J10" s="63" t="s">
        <v>41</v>
      </c>
      <c r="K10" s="64">
        <v>124.89</v>
      </c>
      <c r="L10" s="64">
        <v>7.48</v>
      </c>
      <c r="M10" s="65">
        <f t="shared" si="1"/>
        <v>5272.0588235294117</v>
      </c>
      <c r="N10" s="64">
        <f t="shared" si="4"/>
        <v>6584.2742647058822</v>
      </c>
      <c r="O10" s="64">
        <f t="shared" si="0"/>
        <v>5272.0588235294117</v>
      </c>
      <c r="P10" s="63" t="s">
        <v>46</v>
      </c>
      <c r="Q10" s="63" t="s">
        <v>37</v>
      </c>
      <c r="R10" s="63">
        <v>97</v>
      </c>
      <c r="S10" s="63"/>
      <c r="T10" s="64">
        <f t="shared" si="2"/>
        <v>67.879116130988479</v>
      </c>
      <c r="U10" s="64">
        <f t="shared" si="3"/>
        <v>54.351121892055794</v>
      </c>
      <c r="V10" s="63"/>
      <c r="W10" s="63"/>
      <c r="X10" s="63"/>
      <c r="Y10" s="63"/>
      <c r="Z10" s="63"/>
      <c r="AA10" s="63"/>
      <c r="AB10" s="63"/>
      <c r="AC10" s="63" t="s">
        <v>39</v>
      </c>
      <c r="AD10" s="66"/>
    </row>
    <row r="11" spans="2:33">
      <c r="B11" s="62">
        <v>45496</v>
      </c>
      <c r="C11" s="63" t="s">
        <v>41</v>
      </c>
      <c r="D11" s="63" t="s">
        <v>53</v>
      </c>
      <c r="E11" s="63" t="s">
        <v>45</v>
      </c>
      <c r="F11" s="64">
        <v>140.24</v>
      </c>
      <c r="G11" s="63" t="s">
        <v>34</v>
      </c>
      <c r="H11" s="64">
        <v>57110</v>
      </c>
      <c r="I11" s="63" t="s">
        <v>35</v>
      </c>
      <c r="J11" s="63" t="s">
        <v>41</v>
      </c>
      <c r="K11" s="64">
        <v>124.76</v>
      </c>
      <c r="L11" s="64">
        <v>7.49</v>
      </c>
      <c r="M11" s="65">
        <f t="shared" si="1"/>
        <v>7624.8331108144193</v>
      </c>
      <c r="N11" s="64">
        <f t="shared" si="4"/>
        <v>9512.7417890520701</v>
      </c>
      <c r="O11" s="64">
        <f>H11/L11</f>
        <v>7624.8331108144193</v>
      </c>
      <c r="P11" s="63" t="s">
        <v>46</v>
      </c>
      <c r="Q11" s="63" t="s">
        <v>37</v>
      </c>
      <c r="R11" s="63">
        <v>138</v>
      </c>
      <c r="S11" s="63"/>
      <c r="T11" s="64">
        <f t="shared" si="2"/>
        <v>68.932911514870071</v>
      </c>
      <c r="U11" s="64">
        <f t="shared" si="3"/>
        <v>55.252413846481296</v>
      </c>
      <c r="V11" s="63"/>
      <c r="W11" s="63"/>
      <c r="X11" s="63"/>
      <c r="Y11" s="63"/>
      <c r="Z11" s="63"/>
      <c r="AA11" s="63"/>
      <c r="AB11" s="63"/>
      <c r="AC11" s="63" t="s">
        <v>39</v>
      </c>
      <c r="AD11" s="66"/>
    </row>
    <row r="12" spans="2:33">
      <c r="B12" s="62">
        <v>45496</v>
      </c>
      <c r="C12" s="63" t="s">
        <v>41</v>
      </c>
      <c r="D12" s="63" t="s">
        <v>54</v>
      </c>
      <c r="E12" s="63" t="s">
        <v>45</v>
      </c>
      <c r="F12" s="64">
        <v>140.1</v>
      </c>
      <c r="G12" s="63" t="s">
        <v>43</v>
      </c>
      <c r="H12" s="64">
        <f>84545</f>
        <v>84545</v>
      </c>
      <c r="I12" s="63" t="s">
        <v>35</v>
      </c>
      <c r="J12" s="63" t="s">
        <v>41</v>
      </c>
      <c r="K12" s="64">
        <v>125</v>
      </c>
      <c r="L12" s="64">
        <v>7.49</v>
      </c>
      <c r="M12" s="65">
        <f t="shared" si="1"/>
        <v>11287.716955941254</v>
      </c>
      <c r="N12" s="64">
        <v>14128.84</v>
      </c>
      <c r="O12" s="64">
        <f t="shared" si="0"/>
        <v>11287.716955941254</v>
      </c>
      <c r="P12" s="63" t="s">
        <v>36</v>
      </c>
      <c r="Q12" s="63" t="s">
        <v>37</v>
      </c>
      <c r="R12" s="63">
        <v>166</v>
      </c>
      <c r="S12" s="63"/>
      <c r="T12" s="103">
        <f>(N12-V12)/R12</f>
        <v>85.113493975903609</v>
      </c>
      <c r="U12" s="103">
        <f t="shared" si="3"/>
        <v>67.998294915308762</v>
      </c>
      <c r="V12" s="63"/>
      <c r="W12" s="63"/>
      <c r="X12" s="63"/>
      <c r="Y12" s="63"/>
      <c r="Z12" s="63"/>
      <c r="AA12" s="63"/>
      <c r="AB12" s="63"/>
      <c r="AC12" s="63" t="s">
        <v>39</v>
      </c>
      <c r="AD12" s="66"/>
    </row>
    <row r="13" spans="2:33">
      <c r="B13" s="62">
        <v>45497</v>
      </c>
      <c r="C13" s="63" t="s">
        <v>41</v>
      </c>
      <c r="D13" s="63" t="s">
        <v>55</v>
      </c>
      <c r="E13" s="63" t="s">
        <v>45</v>
      </c>
      <c r="F13" s="64">
        <v>140.69999999999999</v>
      </c>
      <c r="G13" s="63" t="s">
        <v>34</v>
      </c>
      <c r="H13" s="64">
        <f>84895-3440</f>
        <v>81455</v>
      </c>
      <c r="I13" s="63" t="s">
        <v>35</v>
      </c>
      <c r="J13" s="63" t="s">
        <v>41</v>
      </c>
      <c r="K13" s="64">
        <v>125</v>
      </c>
      <c r="L13" s="64">
        <v>7.49</v>
      </c>
      <c r="M13" s="65">
        <f t="shared" si="1"/>
        <v>10875.166889185581</v>
      </c>
      <c r="N13" s="64">
        <v>13603.75</v>
      </c>
      <c r="O13" s="64">
        <f t="shared" si="0"/>
        <v>10875.166889185581</v>
      </c>
      <c r="P13" s="63" t="s">
        <v>36</v>
      </c>
      <c r="Q13" s="63" t="s">
        <v>37</v>
      </c>
      <c r="R13" s="63">
        <v>195</v>
      </c>
      <c r="S13" s="63"/>
      <c r="T13" s="64">
        <f t="shared" si="2"/>
        <v>69.762820512820511</v>
      </c>
      <c r="U13" s="64">
        <f t="shared" si="3"/>
        <v>55.770086611208107</v>
      </c>
      <c r="V13" s="63"/>
      <c r="W13" s="63"/>
      <c r="X13" s="63"/>
      <c r="Y13" s="63"/>
      <c r="Z13" s="63"/>
      <c r="AA13" s="63"/>
      <c r="AB13" s="63"/>
      <c r="AC13" s="63" t="s">
        <v>39</v>
      </c>
      <c r="AD13" s="66"/>
    </row>
    <row r="14" spans="2:33">
      <c r="B14" s="62">
        <v>45497</v>
      </c>
      <c r="C14" s="63" t="s">
        <v>41</v>
      </c>
      <c r="D14" s="63" t="s">
        <v>56</v>
      </c>
      <c r="E14" s="63" t="s">
        <v>45</v>
      </c>
      <c r="F14" s="64">
        <v>140.69999999999999</v>
      </c>
      <c r="G14" s="63" t="s">
        <v>43</v>
      </c>
      <c r="H14" s="64">
        <f>84910-4370</f>
        <v>80540</v>
      </c>
      <c r="I14" s="63" t="s">
        <v>35</v>
      </c>
      <c r="J14" s="63" t="s">
        <v>41</v>
      </c>
      <c r="K14" s="64">
        <v>125</v>
      </c>
      <c r="L14" s="64">
        <v>7.49</v>
      </c>
      <c r="M14" s="65">
        <f t="shared" si="1"/>
        <v>10753.004005340454</v>
      </c>
      <c r="N14" s="64">
        <v>13460.61</v>
      </c>
      <c r="O14" s="64">
        <f t="shared" si="0"/>
        <v>10753.004005340454</v>
      </c>
      <c r="P14" s="63" t="s">
        <v>36</v>
      </c>
      <c r="Q14" s="63" t="s">
        <v>37</v>
      </c>
      <c r="R14" s="63">
        <v>203</v>
      </c>
      <c r="S14" s="63"/>
      <c r="T14" s="64">
        <f t="shared" si="2"/>
        <v>66.308423645320204</v>
      </c>
      <c r="U14" s="64">
        <f t="shared" si="3"/>
        <v>52.970463080494845</v>
      </c>
      <c r="V14" s="63"/>
      <c r="W14" s="63"/>
      <c r="X14" s="63"/>
      <c r="Y14" s="63"/>
      <c r="Z14" s="63"/>
      <c r="AA14" s="63"/>
      <c r="AB14" s="63"/>
      <c r="AC14" s="63" t="s">
        <v>39</v>
      </c>
      <c r="AD14" s="66"/>
    </row>
    <row r="15" spans="2:33">
      <c r="B15" s="62">
        <v>45498</v>
      </c>
      <c r="C15" s="63" t="s">
        <v>41</v>
      </c>
      <c r="D15" s="63" t="s">
        <v>57</v>
      </c>
      <c r="E15" s="63" t="s">
        <v>45</v>
      </c>
      <c r="F15" s="64">
        <v>140.6</v>
      </c>
      <c r="G15" s="63" t="s">
        <v>34</v>
      </c>
      <c r="H15" s="64">
        <v>67575.69</v>
      </c>
      <c r="I15" s="63" t="s">
        <v>35</v>
      </c>
      <c r="J15" s="63" t="s">
        <v>41</v>
      </c>
      <c r="K15" s="64">
        <v>125</v>
      </c>
      <c r="L15" s="64">
        <v>7.47</v>
      </c>
      <c r="M15" s="65">
        <f t="shared" si="1"/>
        <v>9046.2771084337364</v>
      </c>
      <c r="N15" s="64">
        <v>11334.08</v>
      </c>
      <c r="O15" s="64">
        <f t="shared" si="0"/>
        <v>9046.2771084337364</v>
      </c>
      <c r="P15" s="63" t="s">
        <v>36</v>
      </c>
      <c r="Q15" s="63" t="s">
        <v>37</v>
      </c>
      <c r="R15" s="63">
        <v>171</v>
      </c>
      <c r="S15" s="63"/>
      <c r="T15" s="64">
        <f t="shared" si="2"/>
        <v>66.281169590643273</v>
      </c>
      <c r="U15" s="64">
        <f t="shared" si="3"/>
        <v>52.902205312477989</v>
      </c>
      <c r="V15" s="63"/>
      <c r="W15" s="63"/>
      <c r="X15" s="63"/>
      <c r="Y15" s="63"/>
      <c r="Z15" s="63"/>
      <c r="AA15" s="63"/>
      <c r="AB15" s="63"/>
      <c r="AC15" s="63" t="s">
        <v>39</v>
      </c>
      <c r="AD15" s="66"/>
    </row>
    <row r="16" spans="2:33">
      <c r="B16" s="62">
        <v>45498</v>
      </c>
      <c r="C16" s="63" t="s">
        <v>41</v>
      </c>
      <c r="D16" s="63" t="s">
        <v>58</v>
      </c>
      <c r="E16" s="63" t="s">
        <v>45</v>
      </c>
      <c r="F16" s="64">
        <v>141.38999999999999</v>
      </c>
      <c r="G16" s="63" t="s">
        <v>43</v>
      </c>
      <c r="H16" s="64">
        <v>37689</v>
      </c>
      <c r="I16" s="63" t="s">
        <v>35</v>
      </c>
      <c r="J16" s="63" t="s">
        <v>41</v>
      </c>
      <c r="K16" s="64">
        <v>125</v>
      </c>
      <c r="L16" s="64">
        <v>7.47</v>
      </c>
      <c r="M16" s="65">
        <f t="shared" si="1"/>
        <v>5045.3815261044174</v>
      </c>
      <c r="N16" s="64">
        <v>6318.84</v>
      </c>
      <c r="O16" s="64">
        <f t="shared" si="0"/>
        <v>5045.3815261044174</v>
      </c>
      <c r="P16" s="63" t="s">
        <v>36</v>
      </c>
      <c r="Q16" s="63" t="s">
        <v>37</v>
      </c>
      <c r="R16" s="63">
        <v>95</v>
      </c>
      <c r="S16" s="63"/>
      <c r="T16" s="64">
        <f t="shared" si="2"/>
        <v>66.514105263157902</v>
      </c>
      <c r="U16" s="64">
        <f t="shared" si="3"/>
        <v>53.109279222151763</v>
      </c>
      <c r="V16" s="63"/>
      <c r="W16" s="63"/>
      <c r="X16" s="63"/>
      <c r="Y16" s="63"/>
      <c r="Z16" s="63"/>
      <c r="AA16" s="63"/>
      <c r="AB16" s="63"/>
      <c r="AC16" s="63" t="s">
        <v>39</v>
      </c>
      <c r="AD16" s="66"/>
    </row>
    <row r="17" spans="2:30">
      <c r="B17" s="62">
        <v>45499</v>
      </c>
      <c r="C17" s="63" t="s">
        <v>41</v>
      </c>
      <c r="D17" s="63" t="s">
        <v>59</v>
      </c>
      <c r="E17" s="63" t="s">
        <v>45</v>
      </c>
      <c r="F17" s="68">
        <v>141.04</v>
      </c>
      <c r="G17" s="63" t="s">
        <v>34</v>
      </c>
      <c r="H17" s="64">
        <v>72761.7</v>
      </c>
      <c r="I17" s="63" t="s">
        <v>35</v>
      </c>
      <c r="J17" s="63" t="s">
        <v>41</v>
      </c>
      <c r="K17" s="64">
        <v>124.89</v>
      </c>
      <c r="L17" s="64">
        <v>7.48</v>
      </c>
      <c r="M17" s="65">
        <f t="shared" si="1"/>
        <v>9727.4999999999982</v>
      </c>
      <c r="N17" s="64">
        <f t="shared" si="4"/>
        <v>12148.674749999996</v>
      </c>
      <c r="O17" s="64">
        <f t="shared" si="0"/>
        <v>9727.4999999999982</v>
      </c>
      <c r="P17" s="63" t="s">
        <v>36</v>
      </c>
      <c r="Q17" s="63" t="s">
        <v>37</v>
      </c>
      <c r="R17" s="63">
        <v>184</v>
      </c>
      <c r="S17" s="63"/>
      <c r="T17" s="64">
        <f t="shared" si="2"/>
        <v>66.025406249999975</v>
      </c>
      <c r="U17" s="64">
        <f t="shared" si="3"/>
        <v>52.866847826086946</v>
      </c>
      <c r="V17" s="63"/>
      <c r="W17" s="63"/>
      <c r="X17" s="63"/>
      <c r="Y17" s="63"/>
      <c r="Z17" s="63"/>
      <c r="AA17" s="63"/>
      <c r="AB17" s="63"/>
      <c r="AC17" s="63" t="s">
        <v>39</v>
      </c>
      <c r="AD17" s="66"/>
    </row>
    <row r="18" spans="2:30">
      <c r="B18" s="62">
        <v>45499</v>
      </c>
      <c r="C18" s="63" t="s">
        <v>41</v>
      </c>
      <c r="D18" s="63" t="s">
        <v>60</v>
      </c>
      <c r="E18" s="63" t="s">
        <v>45</v>
      </c>
      <c r="F18" s="68">
        <v>141.03</v>
      </c>
      <c r="G18" s="63" t="s">
        <v>43</v>
      </c>
      <c r="H18" s="64">
        <v>33472</v>
      </c>
      <c r="I18" s="63" t="s">
        <v>35</v>
      </c>
      <c r="J18" s="63" t="s">
        <v>41</v>
      </c>
      <c r="K18" s="64">
        <v>124.79</v>
      </c>
      <c r="L18" s="64">
        <v>7.48</v>
      </c>
      <c r="M18" s="65">
        <f t="shared" si="1"/>
        <v>4474.8663101604279</v>
      </c>
      <c r="N18" s="64">
        <f t="shared" si="4"/>
        <v>5584.1856684491977</v>
      </c>
      <c r="O18" s="64">
        <f t="shared" si="0"/>
        <v>4474.8663101604279</v>
      </c>
      <c r="P18" s="63" t="s">
        <v>36</v>
      </c>
      <c r="Q18" s="63" t="s">
        <v>37</v>
      </c>
      <c r="R18" s="63">
        <v>84</v>
      </c>
      <c r="S18" s="63"/>
      <c r="T18" s="64">
        <f t="shared" si="2"/>
        <v>66.478400814871407</v>
      </c>
      <c r="U18" s="64">
        <f t="shared" si="3"/>
        <v>53.272217978100329</v>
      </c>
      <c r="V18" s="63"/>
      <c r="W18" s="63"/>
      <c r="X18" s="63"/>
      <c r="Y18" s="63"/>
      <c r="Z18" s="63"/>
      <c r="AA18" s="63"/>
      <c r="AB18" s="63"/>
      <c r="AC18" s="63" t="s">
        <v>39</v>
      </c>
      <c r="AD18" s="66"/>
    </row>
    <row r="19" spans="2:30">
      <c r="B19" s="62">
        <v>45502</v>
      </c>
      <c r="C19" s="63" t="s">
        <v>41</v>
      </c>
      <c r="D19" s="63" t="s">
        <v>61</v>
      </c>
      <c r="E19" s="63" t="s">
        <v>45</v>
      </c>
      <c r="F19" s="69">
        <v>140.1</v>
      </c>
      <c r="G19" s="63" t="s">
        <v>34</v>
      </c>
      <c r="H19" s="64">
        <v>89405</v>
      </c>
      <c r="I19" s="63" t="s">
        <v>35</v>
      </c>
      <c r="J19" s="63" t="s">
        <v>41</v>
      </c>
      <c r="K19" s="64">
        <v>125.03</v>
      </c>
      <c r="L19" s="64">
        <v>7.47</v>
      </c>
      <c r="M19" s="65">
        <f t="shared" si="1"/>
        <v>11968.540829986614</v>
      </c>
      <c r="N19" s="64">
        <f t="shared" si="4"/>
        <v>14964.266599732264</v>
      </c>
      <c r="O19" s="64">
        <f t="shared" si="0"/>
        <v>11968.540829986614</v>
      </c>
      <c r="P19" s="63" t="s">
        <v>36</v>
      </c>
      <c r="Q19" s="63" t="s">
        <v>37</v>
      </c>
      <c r="R19" s="63">
        <v>224</v>
      </c>
      <c r="S19" s="63"/>
      <c r="T19" s="64">
        <f t="shared" si="2"/>
        <v>66.804761605947604</v>
      </c>
      <c r="U19" s="64">
        <f t="shared" si="3"/>
        <v>53.430985848154528</v>
      </c>
      <c r="V19" s="63"/>
      <c r="W19" s="63"/>
      <c r="X19" s="63"/>
      <c r="Y19" s="63"/>
      <c r="Z19" s="63"/>
      <c r="AA19" s="63"/>
      <c r="AB19" s="63"/>
      <c r="AC19" s="63" t="s">
        <v>39</v>
      </c>
      <c r="AD19" s="66"/>
    </row>
    <row r="20" spans="2:30">
      <c r="B20" s="62">
        <v>45502</v>
      </c>
      <c r="C20" s="63" t="s">
        <v>41</v>
      </c>
      <c r="D20" s="63" t="s">
        <v>62</v>
      </c>
      <c r="E20" s="63" t="s">
        <v>45</v>
      </c>
      <c r="F20" s="64">
        <v>140.05000000000001</v>
      </c>
      <c r="G20" s="63" t="s">
        <v>43</v>
      </c>
      <c r="H20" s="64">
        <f>112925-105</f>
        <v>112820</v>
      </c>
      <c r="I20" s="63" t="s">
        <v>35</v>
      </c>
      <c r="J20" s="63" t="s">
        <v>41</v>
      </c>
      <c r="K20" s="64">
        <v>125</v>
      </c>
      <c r="L20" s="64">
        <v>7.47</v>
      </c>
      <c r="M20" s="65">
        <f t="shared" ref="M20:M52" si="5">(H20/L20)</f>
        <v>15103.078982597055</v>
      </c>
      <c r="N20" s="64">
        <v>18886.400000000001</v>
      </c>
      <c r="O20" s="64">
        <f t="shared" ref="O20:O52" si="6">H20/L20</f>
        <v>15103.078982597055</v>
      </c>
      <c r="P20" s="63" t="s">
        <v>36</v>
      </c>
      <c r="Q20" s="63" t="s">
        <v>37</v>
      </c>
      <c r="R20" s="63">
        <v>283</v>
      </c>
      <c r="S20" s="63"/>
      <c r="T20" s="64">
        <f t="shared" si="2"/>
        <v>66.736395759717325</v>
      </c>
      <c r="U20" s="64">
        <f t="shared" si="3"/>
        <v>53.367770256526697</v>
      </c>
      <c r="V20" s="63"/>
      <c r="W20" s="63"/>
      <c r="X20" s="63"/>
      <c r="Y20" s="63"/>
      <c r="Z20" s="63"/>
      <c r="AA20" s="63"/>
      <c r="AB20" s="63"/>
      <c r="AC20" s="63" t="s">
        <v>39</v>
      </c>
      <c r="AD20" s="66"/>
    </row>
    <row r="21" spans="2:30">
      <c r="B21" s="62">
        <v>45503</v>
      </c>
      <c r="C21" s="63" t="s">
        <v>41</v>
      </c>
      <c r="D21" s="64" t="s">
        <v>63</v>
      </c>
      <c r="E21" s="63" t="s">
        <v>45</v>
      </c>
      <c r="F21" s="64">
        <v>140.06</v>
      </c>
      <c r="G21" s="63" t="s">
        <v>34</v>
      </c>
      <c r="H21" s="64">
        <v>90225</v>
      </c>
      <c r="I21" s="63" t="s">
        <v>35</v>
      </c>
      <c r="J21" s="63" t="s">
        <v>41</v>
      </c>
      <c r="K21" s="68">
        <v>125.01</v>
      </c>
      <c r="L21" s="68">
        <v>7.47</v>
      </c>
      <c r="M21" s="65">
        <f t="shared" si="5"/>
        <v>12078.313253012049</v>
      </c>
      <c r="N21" s="64">
        <f t="shared" si="4"/>
        <v>15099.099397590362</v>
      </c>
      <c r="O21" s="64">
        <f>H21/L21</f>
        <v>12078.313253012049</v>
      </c>
      <c r="P21" s="63" t="s">
        <v>36</v>
      </c>
      <c r="Q21" s="63" t="s">
        <v>37</v>
      </c>
      <c r="R21" s="70">
        <v>226</v>
      </c>
      <c r="S21" s="70"/>
      <c r="T21" s="64">
        <f t="shared" si="2"/>
        <v>66.810174325621077</v>
      </c>
      <c r="U21" s="64">
        <f>((O21-V21/(K21/100))/R21)</f>
        <v>53.443863951380749</v>
      </c>
      <c r="V21" s="68"/>
      <c r="W21" s="68"/>
      <c r="X21" s="68"/>
      <c r="Y21" s="68"/>
      <c r="Z21" s="68"/>
      <c r="AA21" s="68"/>
      <c r="AB21" s="68"/>
      <c r="AC21" s="63" t="s">
        <v>39</v>
      </c>
      <c r="AD21" s="66"/>
    </row>
    <row r="22" spans="2:30">
      <c r="B22" s="60">
        <v>45503</v>
      </c>
      <c r="C22" s="10" t="s">
        <v>64</v>
      </c>
      <c r="D22" s="8" t="s">
        <v>65</v>
      </c>
      <c r="E22" s="7" t="s">
        <v>66</v>
      </c>
      <c r="F22" s="8">
        <v>140.08000000000001</v>
      </c>
      <c r="G22" s="7" t="s">
        <v>43</v>
      </c>
      <c r="H22" s="8">
        <f>83850-8160</f>
        <v>75690</v>
      </c>
      <c r="I22" s="7" t="s">
        <v>35</v>
      </c>
      <c r="J22" s="10" t="s">
        <v>64</v>
      </c>
      <c r="K22" s="10">
        <v>125</v>
      </c>
      <c r="L22" s="10">
        <v>7.47</v>
      </c>
      <c r="M22" s="9">
        <f>(H22/L22)</f>
        <v>10132.530120481928</v>
      </c>
      <c r="N22" s="8">
        <v>12670.73</v>
      </c>
      <c r="O22" s="8">
        <f t="shared" ref="O22:O26" si="7">H22/L22</f>
        <v>10132.530120481928</v>
      </c>
      <c r="P22" s="7" t="s">
        <v>46</v>
      </c>
      <c r="Q22" s="7" t="s">
        <v>37</v>
      </c>
      <c r="R22" s="7">
        <v>187</v>
      </c>
      <c r="S22" s="7"/>
      <c r="T22" s="8">
        <f>(N22-V22)/R22</f>
        <v>67.757914438502667</v>
      </c>
      <c r="U22" s="8">
        <f>(O22-V22)/R22</f>
        <v>54.184653050705499</v>
      </c>
      <c r="V22" s="10"/>
      <c r="W22" s="10"/>
      <c r="X22" s="10"/>
      <c r="Y22" s="10"/>
      <c r="Z22" s="10"/>
      <c r="AA22" s="10"/>
      <c r="AB22" s="10"/>
      <c r="AC22" s="7" t="s">
        <v>39</v>
      </c>
      <c r="AD22" s="11"/>
    </row>
    <row r="23" spans="2:30">
      <c r="B23" s="60">
        <v>45504</v>
      </c>
      <c r="C23" s="10" t="s">
        <v>64</v>
      </c>
      <c r="D23" s="8" t="s">
        <v>67</v>
      </c>
      <c r="E23" s="7" t="s">
        <v>66</v>
      </c>
      <c r="F23" s="8">
        <v>140.1</v>
      </c>
      <c r="G23" s="7" t="s">
        <v>34</v>
      </c>
      <c r="H23" s="8">
        <v>86710</v>
      </c>
      <c r="I23" s="7" t="s">
        <v>35</v>
      </c>
      <c r="J23" s="10" t="s">
        <v>64</v>
      </c>
      <c r="K23" s="10">
        <v>124.9</v>
      </c>
      <c r="L23" s="10">
        <v>7.53</v>
      </c>
      <c r="M23" s="9">
        <f>(H23/L23)</f>
        <v>11515.272244355909</v>
      </c>
      <c r="N23" s="8">
        <f>(M23*(K23/100))</f>
        <v>14382.575033200532</v>
      </c>
      <c r="O23" s="8">
        <f t="shared" si="7"/>
        <v>11515.272244355909</v>
      </c>
      <c r="P23" s="7" t="s">
        <v>36</v>
      </c>
      <c r="Q23" s="7" t="s">
        <v>37</v>
      </c>
      <c r="R23" s="71">
        <v>217</v>
      </c>
      <c r="S23" s="71"/>
      <c r="T23" s="8">
        <f>(N23-V23)/R23</f>
        <v>66.27914761843563</v>
      </c>
      <c r="U23" s="8">
        <f>(O23-V23)/R23</f>
        <v>53.065770711317555</v>
      </c>
      <c r="V23" s="10"/>
      <c r="W23" s="10"/>
      <c r="X23" s="10"/>
      <c r="Y23" s="10"/>
      <c r="Z23" s="10"/>
      <c r="AA23" s="10"/>
      <c r="AB23" s="10"/>
      <c r="AC23" s="7" t="s">
        <v>39</v>
      </c>
      <c r="AD23" s="11"/>
    </row>
    <row r="24" spans="2:30">
      <c r="B24" s="60">
        <v>45504</v>
      </c>
      <c r="C24" s="10" t="s">
        <v>64</v>
      </c>
      <c r="D24" s="8" t="s">
        <v>68</v>
      </c>
      <c r="E24" s="7" t="s">
        <v>66</v>
      </c>
      <c r="F24" s="8">
        <v>140.09</v>
      </c>
      <c r="G24" s="7" t="s">
        <v>43</v>
      </c>
      <c r="H24" s="72">
        <v>83045</v>
      </c>
      <c r="I24" s="7" t="s">
        <v>35</v>
      </c>
      <c r="J24" s="10" t="s">
        <v>64</v>
      </c>
      <c r="K24" s="8">
        <v>125.01</v>
      </c>
      <c r="L24" s="8">
        <v>7.49</v>
      </c>
      <c r="M24" s="9">
        <f>(H24/L24)</f>
        <v>11087.449933244325</v>
      </c>
      <c r="N24" s="8">
        <f>(M24*(K24/100))</f>
        <v>13860.421161548731</v>
      </c>
      <c r="O24" s="8">
        <f t="shared" si="7"/>
        <v>11087.449933244325</v>
      </c>
      <c r="P24" s="7" t="s">
        <v>36</v>
      </c>
      <c r="Q24" s="7" t="s">
        <v>37</v>
      </c>
      <c r="R24" s="7">
        <v>205</v>
      </c>
      <c r="S24" s="7"/>
      <c r="T24" s="8">
        <f>(N24-V24)/R24</f>
        <v>67.611810544140155</v>
      </c>
      <c r="U24" s="8">
        <f>(O24-V24)/R24</f>
        <v>54.085121625582069</v>
      </c>
      <c r="V24" s="8"/>
      <c r="W24" s="8"/>
      <c r="X24" s="8"/>
      <c r="Y24" s="8"/>
      <c r="Z24" s="8"/>
      <c r="AA24" s="8"/>
      <c r="AB24" s="8"/>
      <c r="AC24" s="7" t="s">
        <v>39</v>
      </c>
      <c r="AD24" s="11">
        <v>71</v>
      </c>
    </row>
    <row r="25" spans="2:30">
      <c r="B25" s="60">
        <v>45505</v>
      </c>
      <c r="C25" s="10" t="s">
        <v>64</v>
      </c>
      <c r="D25" s="8" t="s">
        <v>69</v>
      </c>
      <c r="E25" s="7" t="s">
        <v>66</v>
      </c>
      <c r="F25" s="8">
        <v>140.08000000000001</v>
      </c>
      <c r="G25" s="7" t="s">
        <v>34</v>
      </c>
      <c r="H25" s="8">
        <f>90710</f>
        <v>90710</v>
      </c>
      <c r="I25" s="7" t="s">
        <v>35</v>
      </c>
      <c r="J25" s="10" t="s">
        <v>64</v>
      </c>
      <c r="K25" s="8">
        <v>124.97</v>
      </c>
      <c r="L25" s="8">
        <v>7.53</v>
      </c>
      <c r="M25" s="9">
        <f>(H25/L25)</f>
        <v>12046.480743691898</v>
      </c>
      <c r="N25" s="8">
        <f>(M25*(K25/100))</f>
        <v>15054.486985391766</v>
      </c>
      <c r="O25" s="8">
        <f t="shared" si="7"/>
        <v>12046.480743691898</v>
      </c>
      <c r="P25" s="7" t="s">
        <v>46</v>
      </c>
      <c r="Q25" s="7" t="s">
        <v>37</v>
      </c>
      <c r="R25" s="73">
        <v>226</v>
      </c>
      <c r="S25" s="73"/>
      <c r="T25" s="8">
        <f>(N25-V25)/R25</f>
        <v>66.61277427164498</v>
      </c>
      <c r="U25" s="8">
        <f>(O25-V25)/R25</f>
        <v>53.30301214022964</v>
      </c>
      <c r="V25" s="8"/>
      <c r="W25" s="8"/>
      <c r="X25" s="8"/>
      <c r="Y25" s="8"/>
      <c r="Z25" s="8"/>
      <c r="AA25" s="8"/>
      <c r="AB25" s="8"/>
      <c r="AC25" s="7" t="s">
        <v>39</v>
      </c>
      <c r="AD25" s="11"/>
    </row>
    <row r="26" spans="2:30">
      <c r="B26" s="60">
        <v>45505</v>
      </c>
      <c r="C26" s="10" t="s">
        <v>64</v>
      </c>
      <c r="D26" s="7" t="s">
        <v>70</v>
      </c>
      <c r="E26" s="7" t="s">
        <v>45</v>
      </c>
      <c r="F26" s="7">
        <v>140.07</v>
      </c>
      <c r="G26" s="7" t="s">
        <v>43</v>
      </c>
      <c r="H26" s="8">
        <f>78705-2850</f>
        <v>75855</v>
      </c>
      <c r="I26" s="7" t="s">
        <v>35</v>
      </c>
      <c r="J26" s="10" t="s">
        <v>64</v>
      </c>
      <c r="K26" s="8">
        <v>125</v>
      </c>
      <c r="L26" s="8">
        <v>7.48</v>
      </c>
      <c r="M26" s="9">
        <f>(H26/L26)</f>
        <v>10141.042780748663</v>
      </c>
      <c r="N26" s="8">
        <v>12692.53</v>
      </c>
      <c r="O26" s="8">
        <f t="shared" si="7"/>
        <v>10141.042780748663</v>
      </c>
      <c r="P26" s="7" t="s">
        <v>46</v>
      </c>
      <c r="Q26" s="7" t="s">
        <v>37</v>
      </c>
      <c r="R26" s="73">
        <v>186</v>
      </c>
      <c r="S26" s="73"/>
      <c r="T26" s="8">
        <f>(N26-V26)/R26</f>
        <v>68.239408602150547</v>
      </c>
      <c r="U26" s="8">
        <f>(O26-V26)/R26</f>
        <v>54.521735380369158</v>
      </c>
      <c r="V26" s="8"/>
      <c r="W26" s="8"/>
      <c r="X26" s="8"/>
      <c r="Y26" s="8"/>
      <c r="Z26" s="8"/>
      <c r="AA26" s="8"/>
      <c r="AB26" s="8"/>
      <c r="AC26" s="7" t="s">
        <v>39</v>
      </c>
      <c r="AD26" s="11"/>
    </row>
    <row r="27" spans="2:30">
      <c r="B27" s="186">
        <v>45506</v>
      </c>
      <c r="C27" s="10" t="s">
        <v>64</v>
      </c>
      <c r="D27" s="187" t="s">
        <v>71</v>
      </c>
      <c r="E27" s="187" t="s">
        <v>45</v>
      </c>
      <c r="F27" s="188">
        <v>140.11000000000001</v>
      </c>
      <c r="G27" s="187" t="s">
        <v>34</v>
      </c>
      <c r="H27" s="188">
        <v>11200</v>
      </c>
      <c r="I27" s="187" t="s">
        <v>35</v>
      </c>
      <c r="J27" s="189" t="s">
        <v>64</v>
      </c>
      <c r="K27" s="188">
        <v>125</v>
      </c>
      <c r="L27" s="188">
        <v>7.48</v>
      </c>
      <c r="M27" s="190">
        <f t="shared" si="5"/>
        <v>1497.3262032085561</v>
      </c>
      <c r="N27" s="188">
        <v>1873.39</v>
      </c>
      <c r="O27" s="188">
        <f t="shared" si="6"/>
        <v>1497.3262032085561</v>
      </c>
      <c r="P27" s="187" t="s">
        <v>46</v>
      </c>
      <c r="Q27" s="187" t="s">
        <v>37</v>
      </c>
      <c r="R27" s="191">
        <v>28</v>
      </c>
      <c r="S27" s="73"/>
      <c r="T27" s="8">
        <f t="shared" si="2"/>
        <v>66.906785714285718</v>
      </c>
      <c r="U27" s="8">
        <f t="shared" si="3"/>
        <v>53.475935828877006</v>
      </c>
      <c r="V27" s="8"/>
      <c r="W27" s="8"/>
      <c r="X27" s="8"/>
      <c r="Y27" s="8"/>
      <c r="Z27" s="8"/>
      <c r="AA27" s="8"/>
      <c r="AB27" s="8"/>
      <c r="AC27" s="7" t="s">
        <v>39</v>
      </c>
      <c r="AD27" s="11"/>
    </row>
    <row r="28" spans="2:30">
      <c r="B28" s="186">
        <v>45506</v>
      </c>
      <c r="C28" s="10" t="s">
        <v>64</v>
      </c>
      <c r="D28" s="192" t="s">
        <v>72</v>
      </c>
      <c r="E28" s="187" t="s">
        <v>45</v>
      </c>
      <c r="F28" s="192">
        <v>140.08000000000001</v>
      </c>
      <c r="G28" s="187" t="s">
        <v>43</v>
      </c>
      <c r="H28" s="192">
        <v>82770</v>
      </c>
      <c r="I28" s="187" t="s">
        <v>35</v>
      </c>
      <c r="J28" s="189" t="s">
        <v>64</v>
      </c>
      <c r="K28" s="188">
        <v>125</v>
      </c>
      <c r="L28" s="188">
        <v>7.48</v>
      </c>
      <c r="M28" s="190">
        <f t="shared" si="5"/>
        <v>11065.508021390373</v>
      </c>
      <c r="N28" s="188">
        <v>13845.16</v>
      </c>
      <c r="O28" s="188">
        <f t="shared" si="6"/>
        <v>11065.508021390373</v>
      </c>
      <c r="P28" s="187" t="s">
        <v>36</v>
      </c>
      <c r="Q28" s="187" t="s">
        <v>37</v>
      </c>
      <c r="R28" s="191">
        <v>214</v>
      </c>
      <c r="S28" s="73"/>
      <c r="T28" s="8">
        <f t="shared" si="2"/>
        <v>64.697009345794399</v>
      </c>
      <c r="U28" s="8">
        <f t="shared" si="3"/>
        <v>51.70798140836623</v>
      </c>
      <c r="V28" s="8"/>
      <c r="W28" s="8"/>
      <c r="X28" s="8"/>
      <c r="Y28" s="8"/>
      <c r="Z28" s="8"/>
      <c r="AA28" s="8"/>
      <c r="AB28" s="8"/>
      <c r="AC28" s="7" t="s">
        <v>39</v>
      </c>
      <c r="AD28" s="11"/>
    </row>
    <row r="29" spans="2:30">
      <c r="B29" s="60">
        <v>45506</v>
      </c>
      <c r="C29" s="10" t="s">
        <v>64</v>
      </c>
      <c r="D29" s="74" t="s">
        <v>73</v>
      </c>
      <c r="E29" s="7" t="s">
        <v>45</v>
      </c>
      <c r="F29" s="10">
        <v>140.07</v>
      </c>
      <c r="G29" s="7" t="s">
        <v>34</v>
      </c>
      <c r="H29" s="74">
        <v>84250</v>
      </c>
      <c r="I29" s="7" t="s">
        <v>35</v>
      </c>
      <c r="J29" s="10" t="s">
        <v>64</v>
      </c>
      <c r="K29" s="8">
        <v>124.94</v>
      </c>
      <c r="L29" s="8">
        <v>7.53</v>
      </c>
      <c r="M29" s="9">
        <f t="shared" si="5"/>
        <v>11188.579017264276</v>
      </c>
      <c r="N29" s="8">
        <f t="shared" si="4"/>
        <v>13979.010624169987</v>
      </c>
      <c r="O29" s="8">
        <f t="shared" si="6"/>
        <v>11188.579017264276</v>
      </c>
      <c r="P29" s="7" t="s">
        <v>36</v>
      </c>
      <c r="Q29" s="7" t="s">
        <v>37</v>
      </c>
      <c r="R29" s="73">
        <v>210</v>
      </c>
      <c r="S29" s="73"/>
      <c r="T29" s="8">
        <f t="shared" si="2"/>
        <v>66.56671725795232</v>
      </c>
      <c r="U29" s="8">
        <f t="shared" si="3"/>
        <v>53.278947701258453</v>
      </c>
      <c r="V29" s="8"/>
      <c r="W29" s="8"/>
      <c r="X29" s="8"/>
      <c r="Y29" s="8"/>
      <c r="Z29" s="8"/>
      <c r="AA29" s="8"/>
      <c r="AB29" s="8"/>
      <c r="AC29" s="7" t="s">
        <v>39</v>
      </c>
      <c r="AD29" s="11"/>
    </row>
    <row r="30" spans="2:30">
      <c r="B30" s="60">
        <v>45506</v>
      </c>
      <c r="C30" s="10" t="s">
        <v>64</v>
      </c>
      <c r="D30" s="10" t="s">
        <v>74</v>
      </c>
      <c r="E30" s="7" t="s">
        <v>45</v>
      </c>
      <c r="F30" s="10">
        <v>140.07</v>
      </c>
      <c r="G30" s="7" t="s">
        <v>43</v>
      </c>
      <c r="H30" s="74">
        <v>46635</v>
      </c>
      <c r="I30" s="7" t="s">
        <v>35</v>
      </c>
      <c r="J30" s="10" t="s">
        <v>64</v>
      </c>
      <c r="K30" s="8">
        <v>125</v>
      </c>
      <c r="L30" s="8">
        <v>7.46</v>
      </c>
      <c r="M30" s="9">
        <f t="shared" si="5"/>
        <v>6251.3404825737261</v>
      </c>
      <c r="N30" s="8">
        <v>7822.3</v>
      </c>
      <c r="O30" s="8">
        <f t="shared" si="6"/>
        <v>6251.3404825737261</v>
      </c>
      <c r="P30" s="7" t="s">
        <v>36</v>
      </c>
      <c r="Q30" s="7" t="s">
        <v>37</v>
      </c>
      <c r="R30" s="73">
        <v>118</v>
      </c>
      <c r="S30" s="73"/>
      <c r="T30" s="8">
        <f t="shared" si="2"/>
        <v>66.290677966101697</v>
      </c>
      <c r="U30" s="8">
        <f t="shared" si="3"/>
        <v>52.977461716726495</v>
      </c>
      <c r="V30" s="7"/>
      <c r="W30" s="7"/>
      <c r="X30" s="7"/>
      <c r="Y30" s="7"/>
      <c r="Z30" s="7"/>
      <c r="AA30" s="7"/>
      <c r="AB30" s="7"/>
      <c r="AC30" s="7" t="s">
        <v>39</v>
      </c>
      <c r="AD30" s="11"/>
    </row>
    <row r="31" spans="2:30">
      <c r="B31" s="60">
        <v>45509</v>
      </c>
      <c r="C31" s="10" t="s">
        <v>64</v>
      </c>
      <c r="D31" s="8" t="s">
        <v>75</v>
      </c>
      <c r="E31" s="7" t="s">
        <v>45</v>
      </c>
      <c r="F31" s="8">
        <v>140.35</v>
      </c>
      <c r="G31" s="7" t="s">
        <v>43</v>
      </c>
      <c r="H31" s="8">
        <f>86105-430</f>
        <v>85675</v>
      </c>
      <c r="I31" s="7" t="s">
        <v>35</v>
      </c>
      <c r="J31" s="10" t="s">
        <v>64</v>
      </c>
      <c r="K31" s="8">
        <v>124.95</v>
      </c>
      <c r="L31" s="8">
        <v>7.53</v>
      </c>
      <c r="M31" s="9">
        <f t="shared" si="5"/>
        <v>11377.822045152721</v>
      </c>
      <c r="N31" s="8">
        <f t="shared" si="4"/>
        <v>14216.588645418326</v>
      </c>
      <c r="O31" s="8">
        <f t="shared" si="6"/>
        <v>11377.822045152721</v>
      </c>
      <c r="P31" s="7" t="s">
        <v>36</v>
      </c>
      <c r="Q31" s="7" t="s">
        <v>37</v>
      </c>
      <c r="R31" s="12">
        <v>215</v>
      </c>
      <c r="S31" s="12"/>
      <c r="T31" s="8">
        <f t="shared" si="2"/>
        <v>66.123668118224771</v>
      </c>
      <c r="U31" s="8">
        <f t="shared" si="3"/>
        <v>52.920102535594054</v>
      </c>
      <c r="V31" s="7"/>
      <c r="W31" s="7"/>
      <c r="X31" s="7"/>
      <c r="Y31" s="7"/>
      <c r="Z31" s="7"/>
      <c r="AA31" s="7"/>
      <c r="AB31" s="7"/>
      <c r="AC31" s="7" t="s">
        <v>39</v>
      </c>
      <c r="AD31" s="11"/>
    </row>
    <row r="32" spans="2:30">
      <c r="B32" s="60">
        <v>45509</v>
      </c>
      <c r="C32" s="10" t="s">
        <v>64</v>
      </c>
      <c r="D32" s="8" t="s">
        <v>76</v>
      </c>
      <c r="E32" s="7" t="s">
        <v>45</v>
      </c>
      <c r="F32" s="8">
        <v>140.30000000000001</v>
      </c>
      <c r="G32" s="7" t="s">
        <v>34</v>
      </c>
      <c r="H32" s="8">
        <v>86740</v>
      </c>
      <c r="I32" s="7" t="s">
        <v>35</v>
      </c>
      <c r="J32" s="10" t="s">
        <v>64</v>
      </c>
      <c r="K32" s="74">
        <v>124.9</v>
      </c>
      <c r="L32" s="74">
        <v>7.54</v>
      </c>
      <c r="M32" s="9">
        <f t="shared" si="5"/>
        <v>11503.978779840849</v>
      </c>
      <c r="N32" s="8">
        <f t="shared" si="4"/>
        <v>14368.469496021222</v>
      </c>
      <c r="O32" s="8">
        <f t="shared" si="6"/>
        <v>11503.978779840849</v>
      </c>
      <c r="P32" s="7" t="s">
        <v>36</v>
      </c>
      <c r="Q32" s="7" t="s">
        <v>37</v>
      </c>
      <c r="R32" s="73">
        <v>216</v>
      </c>
      <c r="S32" s="73"/>
      <c r="T32" s="8">
        <f t="shared" si="2"/>
        <v>66.520692111209357</v>
      </c>
      <c r="U32" s="8">
        <f t="shared" si="3"/>
        <v>53.259161017781707</v>
      </c>
      <c r="V32" s="74"/>
      <c r="W32" s="74"/>
      <c r="X32" s="74"/>
      <c r="Y32" s="74"/>
      <c r="Z32" s="74"/>
      <c r="AA32" s="74"/>
      <c r="AB32" s="74"/>
      <c r="AC32" s="7" t="s">
        <v>39</v>
      </c>
      <c r="AD32" s="11"/>
    </row>
    <row r="33" spans="2:30">
      <c r="B33" s="60">
        <v>45509</v>
      </c>
      <c r="C33" s="10" t="s">
        <v>64</v>
      </c>
      <c r="D33" s="8" t="s">
        <v>77</v>
      </c>
      <c r="E33" s="7" t="s">
        <v>45</v>
      </c>
      <c r="F33" s="8">
        <v>140.29</v>
      </c>
      <c r="G33" s="7" t="s">
        <v>43</v>
      </c>
      <c r="H33" s="75">
        <f>400*40</f>
        <v>16000</v>
      </c>
      <c r="I33" s="7" t="s">
        <v>35</v>
      </c>
      <c r="J33" s="10" t="s">
        <v>64</v>
      </c>
      <c r="K33" s="10">
        <v>125</v>
      </c>
      <c r="L33" s="10">
        <v>7.54</v>
      </c>
      <c r="M33" s="9">
        <f t="shared" si="5"/>
        <v>2122.0159151193634</v>
      </c>
      <c r="N33" s="8">
        <v>2654.43</v>
      </c>
      <c r="O33" s="8">
        <f t="shared" si="6"/>
        <v>2122.0159151193634</v>
      </c>
      <c r="P33" s="7" t="s">
        <v>36</v>
      </c>
      <c r="Q33" s="7" t="s">
        <v>37</v>
      </c>
      <c r="R33" s="73">
        <v>41</v>
      </c>
      <c r="S33" s="73"/>
      <c r="T33" s="8">
        <f t="shared" si="2"/>
        <v>64.742195121951212</v>
      </c>
      <c r="U33" s="8">
        <f t="shared" si="3"/>
        <v>51.756485734618622</v>
      </c>
      <c r="V33" s="10"/>
      <c r="W33" s="10"/>
      <c r="X33" s="10"/>
      <c r="Y33" s="10"/>
      <c r="Z33" s="10"/>
      <c r="AA33" s="10"/>
      <c r="AB33" s="10"/>
      <c r="AC33" s="7" t="s">
        <v>39</v>
      </c>
      <c r="AD33" s="11"/>
    </row>
    <row r="34" spans="2:30">
      <c r="B34" s="60">
        <v>45510</v>
      </c>
      <c r="C34" s="10" t="s">
        <v>64</v>
      </c>
      <c r="D34" s="8" t="s">
        <v>78</v>
      </c>
      <c r="E34" s="7" t="s">
        <v>45</v>
      </c>
      <c r="F34" s="8">
        <v>140.15</v>
      </c>
      <c r="G34" s="7" t="s">
        <v>43</v>
      </c>
      <c r="H34" s="8">
        <v>90240</v>
      </c>
      <c r="I34" s="7" t="s">
        <v>35</v>
      </c>
      <c r="J34" s="10" t="s">
        <v>64</v>
      </c>
      <c r="K34" s="10">
        <v>125</v>
      </c>
      <c r="L34" s="10">
        <v>7.5380000000000003</v>
      </c>
      <c r="M34" s="9">
        <f t="shared" si="5"/>
        <v>11971.345184399044</v>
      </c>
      <c r="N34" s="8">
        <v>14970.17</v>
      </c>
      <c r="O34" s="8">
        <f t="shared" si="6"/>
        <v>11971.345184399044</v>
      </c>
      <c r="P34" s="7" t="s">
        <v>46</v>
      </c>
      <c r="Q34" s="7" t="s">
        <v>37</v>
      </c>
      <c r="R34" s="76">
        <v>229</v>
      </c>
      <c r="S34" s="76"/>
      <c r="T34" s="8">
        <f t="shared" si="2"/>
        <v>65.371921397379907</v>
      </c>
      <c r="U34" s="8">
        <f t="shared" si="3"/>
        <v>52.276616525760019</v>
      </c>
      <c r="V34" s="77"/>
      <c r="W34" s="10"/>
      <c r="X34" s="10"/>
      <c r="Y34" s="10"/>
      <c r="Z34" s="10"/>
      <c r="AA34" s="10"/>
      <c r="AB34" s="10"/>
      <c r="AC34" s="7" t="s">
        <v>39</v>
      </c>
      <c r="AD34" s="11"/>
    </row>
    <row r="35" spans="2:30">
      <c r="B35" s="60">
        <v>45510</v>
      </c>
      <c r="C35" s="10" t="s">
        <v>64</v>
      </c>
      <c r="D35" s="8" t="s">
        <v>79</v>
      </c>
      <c r="E35" s="7" t="s">
        <v>45</v>
      </c>
      <c r="F35" s="8">
        <v>140.15</v>
      </c>
      <c r="G35" s="7" t="s">
        <v>34</v>
      </c>
      <c r="H35" s="8">
        <f>90595-20</f>
        <v>90575</v>
      </c>
      <c r="I35" s="7" t="s">
        <v>35</v>
      </c>
      <c r="J35" s="10" t="s">
        <v>64</v>
      </c>
      <c r="K35" s="8">
        <v>124.76</v>
      </c>
      <c r="L35" s="8">
        <v>7.5389999999999997</v>
      </c>
      <c r="M35" s="9">
        <f t="shared" si="5"/>
        <v>12014.192863775037</v>
      </c>
      <c r="N35" s="8">
        <f t="shared" si="4"/>
        <v>14988.907016845737</v>
      </c>
      <c r="O35" s="8">
        <f t="shared" si="6"/>
        <v>12014.192863775037</v>
      </c>
      <c r="P35" s="7" t="s">
        <v>36</v>
      </c>
      <c r="Q35" s="7" t="s">
        <v>37</v>
      </c>
      <c r="R35" s="73">
        <v>234</v>
      </c>
      <c r="S35" s="73">
        <f>SUM(R22:R24,R25:R36)</f>
        <v>2623</v>
      </c>
      <c r="T35" s="8">
        <f t="shared" si="2"/>
        <v>64.055158191648445</v>
      </c>
      <c r="U35" s="8">
        <f t="shared" si="3"/>
        <v>51.342704546047166</v>
      </c>
      <c r="V35" s="75"/>
      <c r="W35" s="8"/>
      <c r="X35" s="8"/>
      <c r="Y35" s="8"/>
      <c r="Z35" s="8"/>
      <c r="AA35" s="8"/>
      <c r="AB35" s="8"/>
      <c r="AC35" s="7" t="s">
        <v>39</v>
      </c>
      <c r="AD35" s="11"/>
    </row>
    <row r="36" spans="2:30">
      <c r="B36" s="60">
        <v>45511</v>
      </c>
      <c r="C36" s="10" t="s">
        <v>64</v>
      </c>
      <c r="D36" s="8" t="s">
        <v>80</v>
      </c>
      <c r="E36" s="7" t="s">
        <v>66</v>
      </c>
      <c r="F36" s="8"/>
      <c r="G36" s="7" t="s">
        <v>66</v>
      </c>
      <c r="H36" s="8">
        <v>82355</v>
      </c>
      <c r="I36" s="7" t="s">
        <v>35</v>
      </c>
      <c r="J36" s="10" t="s">
        <v>64</v>
      </c>
      <c r="K36" s="8">
        <v>125</v>
      </c>
      <c r="L36" s="8">
        <v>7.54</v>
      </c>
      <c r="M36" s="9">
        <f>(H36/L36)-5726.31</f>
        <v>5196.1037931034471</v>
      </c>
      <c r="N36" s="8">
        <v>6499.81</v>
      </c>
      <c r="O36" s="8">
        <f>H36/L36-5726.31</f>
        <v>5196.1037931034471</v>
      </c>
      <c r="P36" s="7" t="s">
        <v>36</v>
      </c>
      <c r="Q36" s="7" t="s">
        <v>37</v>
      </c>
      <c r="R36" s="7">
        <v>97</v>
      </c>
      <c r="S36" s="7"/>
      <c r="T36" s="8">
        <f t="shared" si="2"/>
        <v>67.008350515463917</v>
      </c>
      <c r="U36" s="8">
        <f t="shared" si="3"/>
        <v>53.568080341272648</v>
      </c>
      <c r="V36" s="8"/>
      <c r="W36" s="8"/>
      <c r="X36" s="8"/>
      <c r="Y36" s="8"/>
      <c r="Z36" s="8"/>
      <c r="AA36" s="8"/>
      <c r="AB36" s="8"/>
      <c r="AC36" s="7" t="s">
        <v>39</v>
      </c>
      <c r="AD36" s="11"/>
    </row>
    <row r="37" spans="2:30">
      <c r="B37" s="62">
        <v>45511</v>
      </c>
      <c r="C37" s="69" t="s">
        <v>81</v>
      </c>
      <c r="D37" s="64" t="s">
        <v>82</v>
      </c>
      <c r="E37" s="63" t="s">
        <v>45</v>
      </c>
      <c r="F37" s="64"/>
      <c r="G37" s="63" t="s">
        <v>34</v>
      </c>
      <c r="H37" s="78">
        <v>87655</v>
      </c>
      <c r="I37" s="63" t="s">
        <v>35</v>
      </c>
      <c r="J37" s="69" t="s">
        <v>81</v>
      </c>
      <c r="K37" s="64">
        <v>119.96</v>
      </c>
      <c r="L37" s="64">
        <v>7.59</v>
      </c>
      <c r="M37" s="65">
        <f t="shared" si="5"/>
        <v>11548.74835309618</v>
      </c>
      <c r="N37" s="64">
        <f t="shared" si="4"/>
        <v>13853.878524374177</v>
      </c>
      <c r="O37" s="64">
        <f t="shared" si="6"/>
        <v>11548.74835309618</v>
      </c>
      <c r="P37" s="63" t="s">
        <v>36</v>
      </c>
      <c r="Q37" s="63" t="s">
        <v>37</v>
      </c>
      <c r="R37" s="63">
        <v>225</v>
      </c>
      <c r="S37" s="63" t="s">
        <v>83</v>
      </c>
      <c r="T37" s="64">
        <f t="shared" si="2"/>
        <v>61.572793441663009</v>
      </c>
      <c r="U37" s="64">
        <f t="shared" si="3"/>
        <v>51.327770458205244</v>
      </c>
      <c r="V37" s="64"/>
      <c r="W37" s="64"/>
      <c r="X37" s="64"/>
      <c r="Y37" s="64"/>
      <c r="Z37" s="64"/>
      <c r="AA37" s="64"/>
      <c r="AB37" s="64"/>
      <c r="AC37" s="63" t="s">
        <v>39</v>
      </c>
      <c r="AD37" s="66"/>
    </row>
    <row r="38" spans="2:30">
      <c r="B38" s="62">
        <v>45512</v>
      </c>
      <c r="C38" s="69" t="s">
        <v>81</v>
      </c>
      <c r="D38" s="63" t="s">
        <v>84</v>
      </c>
      <c r="E38" s="63" t="s">
        <v>66</v>
      </c>
      <c r="F38" s="63"/>
      <c r="G38" s="63" t="s">
        <v>43</v>
      </c>
      <c r="H38" s="78">
        <v>83910</v>
      </c>
      <c r="I38" s="63" t="s">
        <v>35</v>
      </c>
      <c r="J38" s="69" t="s">
        <v>81</v>
      </c>
      <c r="K38" s="64">
        <v>120.02</v>
      </c>
      <c r="L38" s="64">
        <v>7.59</v>
      </c>
      <c r="M38" s="65">
        <f t="shared" si="5"/>
        <v>11055.335968379446</v>
      </c>
      <c r="N38" s="64">
        <f t="shared" si="4"/>
        <v>13268.614229249011</v>
      </c>
      <c r="O38" s="64">
        <f t="shared" si="6"/>
        <v>11055.335968379446</v>
      </c>
      <c r="P38" s="64" t="s">
        <v>36</v>
      </c>
      <c r="Q38" s="63" t="s">
        <v>37</v>
      </c>
      <c r="R38" s="63">
        <v>210</v>
      </c>
      <c r="S38" s="63" t="s">
        <v>83</v>
      </c>
      <c r="T38" s="64">
        <f t="shared" si="2"/>
        <v>63.183877282138148</v>
      </c>
      <c r="U38" s="64">
        <f t="shared" si="3"/>
        <v>52.644456992283075</v>
      </c>
      <c r="V38" s="64"/>
      <c r="W38" s="64"/>
      <c r="X38" s="64"/>
      <c r="Y38" s="64"/>
      <c r="Z38" s="64"/>
      <c r="AA38" s="64"/>
      <c r="AB38" s="64"/>
      <c r="AC38" s="63" t="s">
        <v>39</v>
      </c>
      <c r="AD38" s="66"/>
    </row>
    <row r="39" spans="2:30">
      <c r="B39" s="62">
        <v>45512</v>
      </c>
      <c r="C39" s="69" t="s">
        <v>81</v>
      </c>
      <c r="D39" s="64" t="s">
        <v>85</v>
      </c>
      <c r="E39" s="63" t="s">
        <v>66</v>
      </c>
      <c r="F39" s="64"/>
      <c r="G39" s="63" t="s">
        <v>34</v>
      </c>
      <c r="H39" s="78">
        <v>84020</v>
      </c>
      <c r="I39" s="63" t="s">
        <v>35</v>
      </c>
      <c r="J39" s="69" t="s">
        <v>81</v>
      </c>
      <c r="K39" s="64">
        <v>120.17</v>
      </c>
      <c r="L39" s="64">
        <v>7.58</v>
      </c>
      <c r="M39" s="65">
        <f t="shared" si="5"/>
        <v>11084.432717678101</v>
      </c>
      <c r="N39" s="64">
        <f t="shared" si="4"/>
        <v>13320.162796833774</v>
      </c>
      <c r="O39" s="64">
        <f t="shared" si="6"/>
        <v>11084.432717678101</v>
      </c>
      <c r="P39" s="64" t="s">
        <v>36</v>
      </c>
      <c r="Q39" s="63" t="s">
        <v>37</v>
      </c>
      <c r="R39" s="63">
        <v>209</v>
      </c>
      <c r="S39" s="63" t="s">
        <v>83</v>
      </c>
      <c r="T39" s="64">
        <f t="shared" si="2"/>
        <v>63.732836348486956</v>
      </c>
      <c r="U39" s="64">
        <f t="shared" si="3"/>
        <v>53.03556324247895</v>
      </c>
      <c r="V39" s="64"/>
      <c r="W39" s="64"/>
      <c r="X39" s="64"/>
      <c r="Y39" s="64"/>
      <c r="Z39" s="64"/>
      <c r="AA39" s="64"/>
      <c r="AB39" s="64"/>
      <c r="AC39" s="63" t="s">
        <v>39</v>
      </c>
      <c r="AD39" s="66"/>
    </row>
    <row r="40" spans="2:30">
      <c r="B40" s="62">
        <v>45513</v>
      </c>
      <c r="C40" s="69" t="s">
        <v>81</v>
      </c>
      <c r="D40" s="69" t="s">
        <v>86</v>
      </c>
      <c r="E40" s="63" t="s">
        <v>66</v>
      </c>
      <c r="F40" s="69"/>
      <c r="G40" s="63" t="s">
        <v>43</v>
      </c>
      <c r="H40" s="78">
        <v>85240</v>
      </c>
      <c r="I40" s="63" t="s">
        <v>35</v>
      </c>
      <c r="J40" s="69" t="s">
        <v>81</v>
      </c>
      <c r="K40" s="64">
        <v>119.84</v>
      </c>
      <c r="L40" s="64">
        <v>7.59</v>
      </c>
      <c r="M40" s="65">
        <f t="shared" si="5"/>
        <v>11230.566534914362</v>
      </c>
      <c r="N40" s="64">
        <f t="shared" si="4"/>
        <v>13458.710935441373</v>
      </c>
      <c r="O40" s="64">
        <f t="shared" si="6"/>
        <v>11230.566534914362</v>
      </c>
      <c r="P40" s="64" t="s">
        <v>36</v>
      </c>
      <c r="Q40" s="63" t="s">
        <v>37</v>
      </c>
      <c r="R40" s="79">
        <v>214</v>
      </c>
      <c r="S40" s="63" t="s">
        <v>83</v>
      </c>
      <c r="T40" s="64">
        <f t="shared" si="2"/>
        <v>62.891172595520437</v>
      </c>
      <c r="U40" s="64">
        <f t="shared" si="3"/>
        <v>52.4792828734316</v>
      </c>
      <c r="V40" s="64"/>
      <c r="W40" s="64"/>
      <c r="X40" s="64"/>
      <c r="Y40" s="64"/>
      <c r="Z40" s="64"/>
      <c r="AA40" s="64"/>
      <c r="AB40" s="64"/>
      <c r="AC40" s="63" t="s">
        <v>39</v>
      </c>
      <c r="AD40" s="66"/>
    </row>
    <row r="41" spans="2:30">
      <c r="B41" s="62">
        <v>45513</v>
      </c>
      <c r="C41" s="69" t="s">
        <v>81</v>
      </c>
      <c r="D41" s="64" t="s">
        <v>87</v>
      </c>
      <c r="E41" s="63" t="s">
        <v>66</v>
      </c>
      <c r="F41" s="64"/>
      <c r="G41" s="63" t="s">
        <v>34</v>
      </c>
      <c r="H41" s="78">
        <v>84300</v>
      </c>
      <c r="I41" s="63" t="s">
        <v>35</v>
      </c>
      <c r="J41" s="69" t="s">
        <v>81</v>
      </c>
      <c r="K41" s="64">
        <v>119.72</v>
      </c>
      <c r="L41" s="65">
        <v>7.5869999999999997</v>
      </c>
      <c r="M41" s="65">
        <f t="shared" si="5"/>
        <v>11111.111111111111</v>
      </c>
      <c r="N41" s="64">
        <f t="shared" si="4"/>
        <v>13302.222222222223</v>
      </c>
      <c r="O41" s="64">
        <f t="shared" si="6"/>
        <v>11111.111111111111</v>
      </c>
      <c r="P41" s="64" t="s">
        <v>36</v>
      </c>
      <c r="Q41" s="63" t="s">
        <v>37</v>
      </c>
      <c r="R41" s="79">
        <v>208</v>
      </c>
      <c r="S41" s="63" t="s">
        <v>83</v>
      </c>
      <c r="T41" s="64">
        <f t="shared" si="2"/>
        <v>63.952991452991455</v>
      </c>
      <c r="U41" s="64">
        <f t="shared" si="3"/>
        <v>53.418803418803421</v>
      </c>
      <c r="V41" s="64"/>
      <c r="W41" s="64"/>
      <c r="X41" s="64"/>
      <c r="Y41" s="64"/>
      <c r="Z41" s="64"/>
      <c r="AA41" s="64"/>
      <c r="AB41" s="64"/>
      <c r="AC41" s="63" t="s">
        <v>39</v>
      </c>
      <c r="AD41" s="66"/>
    </row>
    <row r="42" spans="2:30">
      <c r="B42" s="62">
        <v>45516</v>
      </c>
      <c r="C42" s="69" t="s">
        <v>81</v>
      </c>
      <c r="D42" s="64" t="s">
        <v>88</v>
      </c>
      <c r="E42" s="63" t="s">
        <v>45</v>
      </c>
      <c r="F42" s="64">
        <v>140.75</v>
      </c>
      <c r="G42" s="63" t="s">
        <v>34</v>
      </c>
      <c r="H42" s="78">
        <v>90245</v>
      </c>
      <c r="I42" s="63" t="s">
        <v>35</v>
      </c>
      <c r="J42" s="69" t="s">
        <v>81</v>
      </c>
      <c r="K42" s="63">
        <v>120.08</v>
      </c>
      <c r="L42" s="63">
        <v>7.585</v>
      </c>
      <c r="M42" s="65">
        <f t="shared" si="5"/>
        <v>11897.824653922215</v>
      </c>
      <c r="N42" s="64">
        <f t="shared" si="4"/>
        <v>14286.907844429796</v>
      </c>
      <c r="O42" s="64">
        <f t="shared" si="6"/>
        <v>11897.824653922215</v>
      </c>
      <c r="P42" s="63" t="s">
        <v>36</v>
      </c>
      <c r="Q42" s="63" t="s">
        <v>37</v>
      </c>
      <c r="R42" s="79">
        <v>234</v>
      </c>
      <c r="S42" s="63" t="s">
        <v>83</v>
      </c>
      <c r="T42" s="64">
        <f t="shared" si="2"/>
        <v>61.055161728332457</v>
      </c>
      <c r="U42" s="64">
        <f t="shared" si="3"/>
        <v>50.84540450394109</v>
      </c>
      <c r="V42" s="63"/>
      <c r="W42" s="63"/>
      <c r="X42" s="63"/>
      <c r="Y42" s="63"/>
      <c r="Z42" s="63"/>
      <c r="AA42" s="63"/>
      <c r="AB42" s="63"/>
      <c r="AC42" s="63" t="s">
        <v>39</v>
      </c>
      <c r="AD42" s="66"/>
    </row>
    <row r="43" spans="2:30">
      <c r="B43" s="62">
        <v>45516</v>
      </c>
      <c r="C43" s="69" t="s">
        <v>81</v>
      </c>
      <c r="D43" s="64" t="s">
        <v>89</v>
      </c>
      <c r="E43" s="63" t="s">
        <v>45</v>
      </c>
      <c r="F43" s="64">
        <v>141.28</v>
      </c>
      <c r="G43" s="63" t="s">
        <v>43</v>
      </c>
      <c r="H43" s="78">
        <v>89935</v>
      </c>
      <c r="I43" s="63" t="s">
        <v>35</v>
      </c>
      <c r="J43" s="69" t="s">
        <v>81</v>
      </c>
      <c r="K43" s="64">
        <v>119.78</v>
      </c>
      <c r="L43" s="65">
        <v>7.5880000000000001</v>
      </c>
      <c r="M43" s="65">
        <f t="shared" si="5"/>
        <v>11852.266736953085</v>
      </c>
      <c r="N43" s="64">
        <f t="shared" si="4"/>
        <v>14196.645097522405</v>
      </c>
      <c r="O43" s="64">
        <f t="shared" si="6"/>
        <v>11852.266736953085</v>
      </c>
      <c r="P43" s="63" t="s">
        <v>36</v>
      </c>
      <c r="Q43" s="63" t="s">
        <v>37</v>
      </c>
      <c r="R43" s="79">
        <v>224</v>
      </c>
      <c r="S43" s="63" t="s">
        <v>83</v>
      </c>
      <c r="T43" s="64">
        <f t="shared" si="2"/>
        <v>63.377879899653593</v>
      </c>
      <c r="U43" s="64">
        <f t="shared" si="3"/>
        <v>52.911905075683414</v>
      </c>
      <c r="V43" s="63"/>
      <c r="W43" s="63"/>
      <c r="X43" s="63"/>
      <c r="Y43" s="63"/>
      <c r="Z43" s="63"/>
      <c r="AA43" s="63"/>
      <c r="AB43" s="63"/>
      <c r="AC43" s="63" t="s">
        <v>39</v>
      </c>
      <c r="AD43" s="66"/>
    </row>
    <row r="44" spans="2:30">
      <c r="B44" s="62">
        <v>45517</v>
      </c>
      <c r="C44" s="69" t="s">
        <v>81</v>
      </c>
      <c r="D44" s="64" t="s">
        <v>90</v>
      </c>
      <c r="E44" s="63" t="s">
        <v>45</v>
      </c>
      <c r="F44" s="64"/>
      <c r="G44" s="63" t="s">
        <v>34</v>
      </c>
      <c r="H44" s="80">
        <f>86335-670</f>
        <v>85665</v>
      </c>
      <c r="I44" s="63" t="s">
        <v>35</v>
      </c>
      <c r="J44" s="69" t="s">
        <v>81</v>
      </c>
      <c r="K44" s="69">
        <v>120.05</v>
      </c>
      <c r="L44" s="69">
        <v>7.585</v>
      </c>
      <c r="M44" s="65">
        <f t="shared" si="5"/>
        <v>11294.001318391562</v>
      </c>
      <c r="N44" s="64">
        <f t="shared" si="4"/>
        <v>13558.448582729068</v>
      </c>
      <c r="O44" s="64">
        <f t="shared" si="6"/>
        <v>11294.001318391562</v>
      </c>
      <c r="P44" s="69" t="s">
        <v>36</v>
      </c>
      <c r="Q44" s="63" t="s">
        <v>37</v>
      </c>
      <c r="R44" s="79">
        <v>211</v>
      </c>
      <c r="S44" s="63" t="s">
        <v>83</v>
      </c>
      <c r="T44" s="64">
        <f t="shared" si="2"/>
        <v>64.258050155114063</v>
      </c>
      <c r="U44" s="64">
        <f t="shared" si="3"/>
        <v>53.526072599012139</v>
      </c>
      <c r="V44" s="69"/>
      <c r="W44" s="69"/>
      <c r="X44" s="69"/>
      <c r="Y44" s="69"/>
      <c r="Z44" s="69"/>
      <c r="AA44" s="69"/>
      <c r="AB44" s="69"/>
      <c r="AC44" s="63" t="s">
        <v>39</v>
      </c>
      <c r="AD44" s="66"/>
    </row>
    <row r="45" spans="2:30">
      <c r="B45" s="62">
        <v>45517</v>
      </c>
      <c r="C45" s="69" t="s">
        <v>81</v>
      </c>
      <c r="D45" s="64" t="s">
        <v>91</v>
      </c>
      <c r="E45" s="63" t="s">
        <v>45</v>
      </c>
      <c r="F45" s="64"/>
      <c r="G45" s="63" t="s">
        <v>43</v>
      </c>
      <c r="H45" s="80">
        <v>86385</v>
      </c>
      <c r="I45" s="63" t="s">
        <v>35</v>
      </c>
      <c r="J45" s="69" t="s">
        <v>81</v>
      </c>
      <c r="K45" s="64">
        <v>119.87</v>
      </c>
      <c r="L45" s="64">
        <v>7.5869999999999997</v>
      </c>
      <c r="M45" s="65">
        <f t="shared" si="5"/>
        <v>11385.923289837881</v>
      </c>
      <c r="N45" s="64">
        <f t="shared" si="4"/>
        <v>13648.30624752867</v>
      </c>
      <c r="O45" s="64">
        <f t="shared" si="6"/>
        <v>11385.923289837881</v>
      </c>
      <c r="P45" s="64" t="s">
        <v>92</v>
      </c>
      <c r="Q45" s="63" t="s">
        <v>37</v>
      </c>
      <c r="R45" s="79">
        <v>216</v>
      </c>
      <c r="S45" s="63" t="s">
        <v>83</v>
      </c>
      <c r="T45" s="64">
        <f t="shared" si="2"/>
        <v>63.186602997817914</v>
      </c>
      <c r="U45" s="64">
        <f t="shared" si="3"/>
        <v>52.712607823323523</v>
      </c>
      <c r="V45" s="64"/>
      <c r="W45" s="64"/>
      <c r="X45" s="64"/>
      <c r="Y45" s="64"/>
      <c r="Z45" s="64"/>
      <c r="AA45" s="64"/>
      <c r="AB45" s="64"/>
      <c r="AC45" s="63" t="s">
        <v>39</v>
      </c>
      <c r="AD45" s="66"/>
    </row>
    <row r="46" spans="2:30">
      <c r="B46" s="62">
        <v>45517</v>
      </c>
      <c r="C46" s="69" t="s">
        <v>81</v>
      </c>
      <c r="D46" s="64" t="s">
        <v>93</v>
      </c>
      <c r="E46" s="63" t="s">
        <v>45</v>
      </c>
      <c r="F46" s="64"/>
      <c r="G46" s="63" t="s">
        <v>34</v>
      </c>
      <c r="H46" s="80">
        <f>(22*400)</f>
        <v>8800</v>
      </c>
      <c r="I46" s="63" t="s">
        <v>35</v>
      </c>
      <c r="J46" s="69" t="s">
        <v>81</v>
      </c>
      <c r="K46" s="64">
        <v>120.07</v>
      </c>
      <c r="L46" s="64">
        <v>7.585</v>
      </c>
      <c r="M46" s="65">
        <f t="shared" si="5"/>
        <v>1160.1845748187211</v>
      </c>
      <c r="N46" s="64">
        <f t="shared" si="4"/>
        <v>1393.0336189848383</v>
      </c>
      <c r="O46" s="64">
        <f t="shared" si="6"/>
        <v>1160.1845748187211</v>
      </c>
      <c r="P46" s="64" t="s">
        <v>92</v>
      </c>
      <c r="Q46" s="63" t="s">
        <v>37</v>
      </c>
      <c r="R46" s="79">
        <v>22</v>
      </c>
      <c r="S46" s="63" t="s">
        <v>83</v>
      </c>
      <c r="T46" s="64">
        <f t="shared" si="2"/>
        <v>63.31970995385629</v>
      </c>
      <c r="U46" s="64">
        <f t="shared" si="3"/>
        <v>52.735662491760053</v>
      </c>
      <c r="V46" s="64"/>
      <c r="W46" s="64"/>
      <c r="X46" s="64"/>
      <c r="Y46" s="64"/>
      <c r="Z46" s="64"/>
      <c r="AA46" s="64"/>
      <c r="AB46" s="64"/>
      <c r="AC46" s="63" t="s">
        <v>39</v>
      </c>
      <c r="AD46" s="66"/>
    </row>
    <row r="47" spans="2:30">
      <c r="B47" s="62">
        <v>45518</v>
      </c>
      <c r="C47" s="69" t="s">
        <v>81</v>
      </c>
      <c r="D47" s="64" t="s">
        <v>94</v>
      </c>
      <c r="E47" s="63" t="s">
        <v>45</v>
      </c>
      <c r="F47" s="64"/>
      <c r="G47" s="63" t="s">
        <v>34</v>
      </c>
      <c r="H47" s="81">
        <v>86690</v>
      </c>
      <c r="I47" s="63" t="s">
        <v>35</v>
      </c>
      <c r="J47" s="69" t="s">
        <v>81</v>
      </c>
      <c r="K47" s="64">
        <v>120.07</v>
      </c>
      <c r="L47" s="64">
        <v>7.585</v>
      </c>
      <c r="M47" s="65">
        <f t="shared" si="5"/>
        <v>11429.136453526697</v>
      </c>
      <c r="N47" s="64">
        <f t="shared" si="4"/>
        <v>13722.964139749503</v>
      </c>
      <c r="O47" s="64">
        <f t="shared" si="6"/>
        <v>11429.136453526697</v>
      </c>
      <c r="P47" s="64" t="s">
        <v>92</v>
      </c>
      <c r="Q47" s="63" t="s">
        <v>37</v>
      </c>
      <c r="R47" s="79">
        <v>217</v>
      </c>
      <c r="S47" s="63" t="s">
        <v>83</v>
      </c>
      <c r="T47" s="64">
        <f t="shared" si="2"/>
        <v>63.239466081794944</v>
      </c>
      <c r="U47" s="64">
        <f t="shared" si="3"/>
        <v>52.668831583072333</v>
      </c>
      <c r="V47" s="63"/>
      <c r="W47" s="63"/>
      <c r="X47" s="63"/>
      <c r="Y47" s="63"/>
      <c r="Z47" s="63"/>
      <c r="AA47" s="63"/>
      <c r="AB47" s="63"/>
      <c r="AC47" s="63" t="s">
        <v>39</v>
      </c>
      <c r="AD47" s="66"/>
    </row>
    <row r="48" spans="2:30">
      <c r="B48" s="62">
        <v>45518</v>
      </c>
      <c r="C48" s="69" t="s">
        <v>81</v>
      </c>
      <c r="D48" s="64" t="s">
        <v>95</v>
      </c>
      <c r="E48" s="63" t="s">
        <v>45</v>
      </c>
      <c r="F48" s="64"/>
      <c r="G48" s="63" t="s">
        <v>43</v>
      </c>
      <c r="H48" s="81">
        <v>73465</v>
      </c>
      <c r="I48" s="63" t="s">
        <v>35</v>
      </c>
      <c r="J48" s="69" t="s">
        <v>81</v>
      </c>
      <c r="K48" s="64">
        <v>119.87</v>
      </c>
      <c r="L48" s="64">
        <v>7.5871000000000004</v>
      </c>
      <c r="M48" s="65">
        <f t="shared" si="5"/>
        <v>9682.8827878899701</v>
      </c>
      <c r="N48" s="64">
        <f t="shared" si="4"/>
        <v>11606.871597843709</v>
      </c>
      <c r="O48" s="64">
        <f t="shared" si="6"/>
        <v>9682.8827878899701</v>
      </c>
      <c r="P48" s="64" t="s">
        <v>36</v>
      </c>
      <c r="Q48" s="63" t="s">
        <v>37</v>
      </c>
      <c r="R48" s="79">
        <v>180</v>
      </c>
      <c r="S48" s="63" t="s">
        <v>83</v>
      </c>
      <c r="T48" s="64">
        <f t="shared" si="2"/>
        <v>64.482619988020602</v>
      </c>
      <c r="U48" s="64">
        <f t="shared" si="3"/>
        <v>53.793793266055388</v>
      </c>
      <c r="V48" s="63"/>
      <c r="W48" s="63"/>
      <c r="X48" s="63"/>
      <c r="Y48" s="63"/>
      <c r="Z48" s="63"/>
      <c r="AA48" s="63"/>
      <c r="AB48" s="63"/>
      <c r="AC48" s="63" t="s">
        <v>39</v>
      </c>
      <c r="AD48" s="66"/>
    </row>
    <row r="49" spans="2:30">
      <c r="B49" s="62">
        <v>45519</v>
      </c>
      <c r="C49" s="69" t="s">
        <v>81</v>
      </c>
      <c r="D49" s="64" t="s">
        <v>96</v>
      </c>
      <c r="E49" s="63" t="s">
        <v>45</v>
      </c>
      <c r="F49" s="64"/>
      <c r="G49" s="63" t="s">
        <v>34</v>
      </c>
      <c r="H49" s="81">
        <v>90900</v>
      </c>
      <c r="I49" s="63" t="s">
        <v>35</v>
      </c>
      <c r="J49" s="69" t="s">
        <v>81</v>
      </c>
      <c r="K49" s="64">
        <v>120.22</v>
      </c>
      <c r="L49" s="64">
        <v>7.58</v>
      </c>
      <c r="M49" s="65">
        <f t="shared" si="5"/>
        <v>11992.084432717678</v>
      </c>
      <c r="N49" s="64">
        <f t="shared" si="4"/>
        <v>14416.883905013192</v>
      </c>
      <c r="O49" s="64">
        <f t="shared" si="6"/>
        <v>11992.084432717678</v>
      </c>
      <c r="P49" s="64" t="s">
        <v>36</v>
      </c>
      <c r="Q49" s="63" t="s">
        <v>37</v>
      </c>
      <c r="R49" s="79">
        <v>235</v>
      </c>
      <c r="S49" s="63" t="s">
        <v>83</v>
      </c>
      <c r="T49" s="64">
        <f t="shared" si="2"/>
        <v>61.348442148992305</v>
      </c>
      <c r="U49" s="64">
        <f t="shared" si="3"/>
        <v>51.030146522202884</v>
      </c>
      <c r="V49" s="63"/>
      <c r="W49" s="63"/>
      <c r="X49" s="63"/>
      <c r="Y49" s="63"/>
      <c r="Z49" s="63"/>
      <c r="AA49" s="63"/>
      <c r="AB49" s="63"/>
      <c r="AC49" s="63" t="s">
        <v>39</v>
      </c>
      <c r="AD49" s="66"/>
    </row>
    <row r="50" spans="2:30">
      <c r="B50" s="62">
        <v>45520</v>
      </c>
      <c r="C50" s="69" t="s">
        <v>81</v>
      </c>
      <c r="D50" s="63" t="s">
        <v>97</v>
      </c>
      <c r="E50" s="63" t="s">
        <v>45</v>
      </c>
      <c r="F50" s="63"/>
      <c r="G50" s="63" t="s">
        <v>43</v>
      </c>
      <c r="H50" s="81">
        <v>84855</v>
      </c>
      <c r="I50" s="63" t="s">
        <v>35</v>
      </c>
      <c r="J50" s="69" t="s">
        <v>81</v>
      </c>
      <c r="K50" s="64">
        <v>120.06</v>
      </c>
      <c r="L50" s="64">
        <v>7.585</v>
      </c>
      <c r="M50" s="65">
        <f t="shared" si="5"/>
        <v>11187.211601845749</v>
      </c>
      <c r="N50" s="64">
        <f t="shared" si="4"/>
        <v>13431.366249176008</v>
      </c>
      <c r="O50" s="64">
        <f t="shared" si="6"/>
        <v>11187.211601845749</v>
      </c>
      <c r="P50" s="64" t="s">
        <v>36</v>
      </c>
      <c r="Q50" s="63" t="s">
        <v>37</v>
      </c>
      <c r="R50" s="79">
        <v>210</v>
      </c>
      <c r="S50" s="63" t="s">
        <v>83</v>
      </c>
      <c r="T50" s="64">
        <f t="shared" si="2"/>
        <v>63.958886900838131</v>
      </c>
      <c r="U50" s="64">
        <f t="shared" si="3"/>
        <v>53.272436199265471</v>
      </c>
      <c r="V50" s="63"/>
      <c r="W50" s="63"/>
      <c r="X50" s="63"/>
      <c r="Y50" s="63"/>
      <c r="Z50" s="63"/>
      <c r="AA50" s="63"/>
      <c r="AB50" s="63"/>
      <c r="AC50" s="63" t="s">
        <v>39</v>
      </c>
      <c r="AD50" s="66"/>
    </row>
    <row r="51" spans="2:30">
      <c r="B51" s="62">
        <v>45520</v>
      </c>
      <c r="C51" s="69" t="s">
        <v>81</v>
      </c>
      <c r="D51" s="63" t="s">
        <v>98</v>
      </c>
      <c r="E51" s="63" t="s">
        <v>45</v>
      </c>
      <c r="F51" s="63"/>
      <c r="G51" s="63" t="s">
        <v>34</v>
      </c>
      <c r="H51" s="81">
        <v>83575</v>
      </c>
      <c r="I51" s="63" t="s">
        <v>35</v>
      </c>
      <c r="J51" s="69" t="s">
        <v>81</v>
      </c>
      <c r="K51" s="64">
        <v>119.96</v>
      </c>
      <c r="L51" s="64">
        <v>7.5860000000000003</v>
      </c>
      <c r="M51" s="65">
        <f t="shared" si="5"/>
        <v>11017.005009227523</v>
      </c>
      <c r="N51" s="64">
        <f t="shared" si="4"/>
        <v>13215.999209069338</v>
      </c>
      <c r="O51" s="64">
        <f t="shared" si="6"/>
        <v>11017.005009227523</v>
      </c>
      <c r="P51" s="64" t="s">
        <v>36</v>
      </c>
      <c r="Q51" s="63" t="s">
        <v>37</v>
      </c>
      <c r="R51" s="79">
        <v>210</v>
      </c>
      <c r="S51" s="63" t="s">
        <v>83</v>
      </c>
      <c r="T51" s="64">
        <f t="shared" si="2"/>
        <v>62.933329566996846</v>
      </c>
      <c r="U51" s="64">
        <f t="shared" si="3"/>
        <v>52.46192861536916</v>
      </c>
      <c r="V51" s="63"/>
      <c r="W51" s="63"/>
      <c r="X51" s="63"/>
      <c r="Y51" s="63"/>
      <c r="Z51" s="63"/>
      <c r="AA51" s="63"/>
      <c r="AB51" s="63"/>
      <c r="AC51" s="63" t="s">
        <v>39</v>
      </c>
      <c r="AD51" s="66"/>
    </row>
    <row r="52" spans="2:30">
      <c r="B52" s="82">
        <v>45520</v>
      </c>
      <c r="C52" s="69" t="s">
        <v>81</v>
      </c>
      <c r="D52" s="68" t="s">
        <v>99</v>
      </c>
      <c r="E52" s="63" t="s">
        <v>45</v>
      </c>
      <c r="F52" s="68"/>
      <c r="G52" s="63" t="s">
        <v>43</v>
      </c>
      <c r="H52" s="83">
        <f>82555-(39755)</f>
        <v>42800</v>
      </c>
      <c r="I52" s="63" t="s">
        <v>35</v>
      </c>
      <c r="J52" s="69" t="s">
        <v>81</v>
      </c>
      <c r="K52" s="64">
        <v>120.03</v>
      </c>
      <c r="L52" s="64">
        <v>7.5857000000000001</v>
      </c>
      <c r="M52" s="65">
        <f t="shared" si="5"/>
        <v>5642.1951830417756</v>
      </c>
      <c r="N52" s="64">
        <f t="shared" si="4"/>
        <v>6772.3268782050427</v>
      </c>
      <c r="O52" s="64">
        <f t="shared" si="6"/>
        <v>5642.1951830417756</v>
      </c>
      <c r="P52" s="64" t="s">
        <v>100</v>
      </c>
      <c r="Q52" s="63" t="s">
        <v>37</v>
      </c>
      <c r="R52" s="79">
        <v>107</v>
      </c>
      <c r="S52" s="63" t="s">
        <v>83</v>
      </c>
      <c r="T52" s="64">
        <f>(N52-V52)/R52</f>
        <v>63.292774562663951</v>
      </c>
      <c r="U52" s="64">
        <f t="shared" si="3"/>
        <v>52.730796103194166</v>
      </c>
      <c r="V52" s="63"/>
      <c r="W52" s="63"/>
      <c r="X52" s="63"/>
      <c r="Y52" s="63"/>
      <c r="Z52" s="63"/>
      <c r="AA52" s="63"/>
      <c r="AB52" s="63"/>
      <c r="AC52" s="63" t="s">
        <v>39</v>
      </c>
      <c r="AD52" s="66"/>
    </row>
    <row r="53" spans="2:30">
      <c r="B53" s="84">
        <v>45511</v>
      </c>
      <c r="C53" s="69" t="s">
        <v>81</v>
      </c>
      <c r="D53" s="85" t="s">
        <v>80</v>
      </c>
      <c r="E53" s="86" t="s">
        <v>66</v>
      </c>
      <c r="F53" s="87"/>
      <c r="G53" s="86" t="s">
        <v>66</v>
      </c>
      <c r="H53" s="88">
        <v>43470</v>
      </c>
      <c r="I53" s="86" t="s">
        <v>35</v>
      </c>
      <c r="J53" s="89" t="s">
        <v>64</v>
      </c>
      <c r="K53" s="85">
        <v>125.09</v>
      </c>
      <c r="L53" s="85">
        <v>7.54</v>
      </c>
      <c r="M53" s="90">
        <v>5726.32</v>
      </c>
      <c r="N53" s="85">
        <f>(M53*(K53/100))</f>
        <v>7163.053688</v>
      </c>
      <c r="O53" s="85">
        <f>H53/L53</f>
        <v>5765.2519893899207</v>
      </c>
      <c r="P53" s="85" t="s">
        <v>100</v>
      </c>
      <c r="Q53" s="86" t="s">
        <v>37</v>
      </c>
      <c r="R53" s="86">
        <v>108</v>
      </c>
      <c r="S53" s="86" t="s">
        <v>83</v>
      </c>
      <c r="T53" s="85">
        <f>(N53-V53)/R53</f>
        <v>66.324571185185178</v>
      </c>
      <c r="U53" s="85">
        <f>(O53-V53)/R53</f>
        <v>53.381962864721487</v>
      </c>
      <c r="V53" s="174"/>
      <c r="W53" s="174"/>
      <c r="X53" s="174"/>
      <c r="Y53" s="63"/>
      <c r="Z53" s="63"/>
      <c r="AA53" s="63"/>
      <c r="AB53" s="63"/>
      <c r="AC53" s="63" t="s">
        <v>39</v>
      </c>
      <c r="AD53" s="66"/>
    </row>
    <row r="54" spans="2:30">
      <c r="B54" s="60">
        <v>45520</v>
      </c>
      <c r="C54" s="10" t="s">
        <v>101</v>
      </c>
      <c r="D54" s="10" t="s">
        <v>102</v>
      </c>
      <c r="E54" s="7" t="s">
        <v>66</v>
      </c>
      <c r="F54" s="10"/>
      <c r="G54" s="7" t="s">
        <v>34</v>
      </c>
      <c r="H54" s="91">
        <f>78955-21755</f>
        <v>57200</v>
      </c>
      <c r="I54" s="7" t="s">
        <v>35</v>
      </c>
      <c r="J54" s="10" t="s">
        <v>101</v>
      </c>
      <c r="K54" s="8">
        <v>125</v>
      </c>
      <c r="L54" s="8">
        <v>7.5365599999999997</v>
      </c>
      <c r="M54" s="9">
        <f>(H54/L54)</f>
        <v>7589.6695574638834</v>
      </c>
      <c r="N54" s="8">
        <v>9503.7800000000007</v>
      </c>
      <c r="O54" s="8">
        <f>H54/L54</f>
        <v>7589.6695574638834</v>
      </c>
      <c r="P54" s="8" t="s">
        <v>100</v>
      </c>
      <c r="Q54" s="7" t="s">
        <v>37</v>
      </c>
      <c r="R54" s="73">
        <v>143</v>
      </c>
      <c r="S54" s="13" t="s">
        <v>103</v>
      </c>
      <c r="T54" s="8">
        <f>(N54-V54)/R54</f>
        <v>66.460000000000008</v>
      </c>
      <c r="U54" s="8">
        <f>(O54-V54)/R54</f>
        <v>53.07461228995723</v>
      </c>
      <c r="V54" s="7"/>
      <c r="W54" s="7"/>
      <c r="X54" s="7"/>
      <c r="Y54" s="7"/>
      <c r="Z54" s="7"/>
      <c r="AA54" s="7"/>
      <c r="AB54" s="7"/>
      <c r="AC54" s="7" t="s">
        <v>39</v>
      </c>
      <c r="AD54" s="11"/>
    </row>
    <row r="55" spans="2:30">
      <c r="B55" s="60">
        <v>45523</v>
      </c>
      <c r="C55" s="10" t="s">
        <v>101</v>
      </c>
      <c r="D55" s="7" t="s">
        <v>104</v>
      </c>
      <c r="E55" s="7" t="s">
        <v>105</v>
      </c>
      <c r="F55" s="8"/>
      <c r="G55" s="7" t="s">
        <v>106</v>
      </c>
      <c r="H55" s="91">
        <v>86820</v>
      </c>
      <c r="I55" s="7" t="s">
        <v>35</v>
      </c>
      <c r="J55" s="10" t="s">
        <v>101</v>
      </c>
      <c r="K55" s="8">
        <v>125</v>
      </c>
      <c r="L55" s="8">
        <v>7.5377000000000001</v>
      </c>
      <c r="M55" s="9">
        <f t="shared" ref="M55:M78" si="8">(H55/L55)</f>
        <v>11518.102338909746</v>
      </c>
      <c r="N55" s="8">
        <v>14409.15</v>
      </c>
      <c r="O55" s="8">
        <f t="shared" ref="O55:O78" si="9">H55/L55</f>
        <v>11518.102338909746</v>
      </c>
      <c r="P55" s="8" t="s">
        <v>100</v>
      </c>
      <c r="Q55" s="7" t="s">
        <v>37</v>
      </c>
      <c r="R55" s="73">
        <v>216</v>
      </c>
      <c r="S55" s="13" t="s">
        <v>103</v>
      </c>
      <c r="T55" s="8">
        <f t="shared" ref="T55:T71" si="10">(N55-V55)/R55</f>
        <v>66.709027777777777</v>
      </c>
      <c r="U55" s="8">
        <f t="shared" ref="U55:U71" si="11">(O55-V55)/R55</f>
        <v>53.324547865322899</v>
      </c>
      <c r="V55" s="7"/>
      <c r="W55" s="7"/>
      <c r="X55" s="7"/>
      <c r="Y55" s="7"/>
      <c r="Z55" s="7"/>
      <c r="AA55" s="7"/>
      <c r="AB55" s="7"/>
      <c r="AC55" s="7" t="s">
        <v>39</v>
      </c>
      <c r="AD55" s="11"/>
    </row>
    <row r="56" spans="2:30">
      <c r="B56" s="60">
        <v>45523</v>
      </c>
      <c r="C56" s="10" t="s">
        <v>101</v>
      </c>
      <c r="D56" s="7" t="s">
        <v>107</v>
      </c>
      <c r="E56" s="7" t="s">
        <v>105</v>
      </c>
      <c r="F56" s="8"/>
      <c r="G56" s="7" t="s">
        <v>106</v>
      </c>
      <c r="H56" s="91">
        <v>85870</v>
      </c>
      <c r="I56" s="7" t="s">
        <v>35</v>
      </c>
      <c r="J56" s="10" t="s">
        <v>101</v>
      </c>
      <c r="K56" s="8">
        <v>124.98</v>
      </c>
      <c r="L56" s="8">
        <v>7.5388000000000002</v>
      </c>
      <c r="M56" s="9">
        <f t="shared" si="8"/>
        <v>11390.406961320105</v>
      </c>
      <c r="N56" s="8">
        <f t="shared" ref="N56:N71" si="12">(M56*(K56/100))</f>
        <v>14235.730620257867</v>
      </c>
      <c r="O56" s="8">
        <f t="shared" si="9"/>
        <v>11390.406961320105</v>
      </c>
      <c r="P56" s="8" t="s">
        <v>100</v>
      </c>
      <c r="Q56" s="7" t="s">
        <v>37</v>
      </c>
      <c r="R56" s="73">
        <v>219</v>
      </c>
      <c r="S56" s="13" t="s">
        <v>103</v>
      </c>
      <c r="T56" s="8">
        <f t="shared" si="10"/>
        <v>65.003336165561038</v>
      </c>
      <c r="U56" s="8">
        <f t="shared" si="11"/>
        <v>52.010990690959382</v>
      </c>
      <c r="V56" s="7"/>
      <c r="W56" s="7"/>
      <c r="X56" s="7"/>
      <c r="Y56" s="7"/>
      <c r="Z56" s="7"/>
      <c r="AA56" s="7"/>
      <c r="AB56" s="7"/>
      <c r="AC56" s="7" t="s">
        <v>39</v>
      </c>
      <c r="AD56" s="11"/>
    </row>
    <row r="57" spans="2:30">
      <c r="B57" s="60">
        <v>45524</v>
      </c>
      <c r="C57" s="10" t="s">
        <v>101</v>
      </c>
      <c r="D57" s="7" t="s">
        <v>108</v>
      </c>
      <c r="E57" s="7" t="s">
        <v>105</v>
      </c>
      <c r="F57" s="8"/>
      <c r="G57" s="7" t="s">
        <v>106</v>
      </c>
      <c r="H57" s="91">
        <v>82930</v>
      </c>
      <c r="I57" s="7" t="s">
        <v>35</v>
      </c>
      <c r="J57" s="10" t="s">
        <v>101</v>
      </c>
      <c r="K57" s="8">
        <v>124.98</v>
      </c>
      <c r="L57" s="8">
        <v>7.5388999999999999</v>
      </c>
      <c r="M57" s="9">
        <f t="shared" si="8"/>
        <v>11000.278555226891</v>
      </c>
      <c r="N57" s="8">
        <f t="shared" si="12"/>
        <v>13748.148138322567</v>
      </c>
      <c r="O57" s="8">
        <f t="shared" si="9"/>
        <v>11000.278555226891</v>
      </c>
      <c r="P57" s="8" t="s">
        <v>100</v>
      </c>
      <c r="Q57" s="7" t="s">
        <v>37</v>
      </c>
      <c r="R57" s="7">
        <v>206</v>
      </c>
      <c r="S57" s="13" t="s">
        <v>103</v>
      </c>
      <c r="T57" s="8">
        <f t="shared" si="10"/>
        <v>66.738583195740617</v>
      </c>
      <c r="U57" s="8">
        <f t="shared" si="11"/>
        <v>53.399410462266459</v>
      </c>
      <c r="V57" s="7"/>
      <c r="W57" s="7"/>
      <c r="X57" s="7"/>
      <c r="Y57" s="7"/>
      <c r="Z57" s="7"/>
      <c r="AA57" s="7"/>
      <c r="AB57" s="7"/>
      <c r="AC57" s="7" t="s">
        <v>39</v>
      </c>
      <c r="AD57" s="11"/>
    </row>
    <row r="58" spans="2:30">
      <c r="B58" s="60">
        <v>45524</v>
      </c>
      <c r="C58" s="10" t="s">
        <v>101</v>
      </c>
      <c r="D58" s="7" t="s">
        <v>109</v>
      </c>
      <c r="E58" s="7" t="s">
        <v>105</v>
      </c>
      <c r="F58" s="8"/>
      <c r="G58" s="7" t="s">
        <v>106</v>
      </c>
      <c r="H58" s="91">
        <v>87830</v>
      </c>
      <c r="I58" s="7" t="s">
        <v>35</v>
      </c>
      <c r="J58" s="10" t="s">
        <v>101</v>
      </c>
      <c r="K58" s="8">
        <v>125</v>
      </c>
      <c r="L58" s="8">
        <v>7.5359699999999998</v>
      </c>
      <c r="M58" s="9">
        <f t="shared" si="8"/>
        <v>11654.770387886363</v>
      </c>
      <c r="N58" s="8">
        <v>14601.1</v>
      </c>
      <c r="O58" s="8">
        <f t="shared" si="9"/>
        <v>11654.770387886363</v>
      </c>
      <c r="P58" s="8" t="s">
        <v>100</v>
      </c>
      <c r="Q58" s="7" t="s">
        <v>37</v>
      </c>
      <c r="R58" s="73">
        <v>227</v>
      </c>
      <c r="S58" s="13" t="s">
        <v>103</v>
      </c>
      <c r="T58" s="8">
        <f t="shared" si="10"/>
        <v>64.322026431718058</v>
      </c>
      <c r="U58" s="8">
        <f t="shared" si="11"/>
        <v>51.342600827693232</v>
      </c>
      <c r="V58" s="7"/>
      <c r="W58" s="7"/>
      <c r="X58" s="7"/>
      <c r="Y58" s="7"/>
      <c r="Z58" s="7"/>
      <c r="AA58" s="7"/>
      <c r="AB58" s="7"/>
      <c r="AC58" s="7" t="s">
        <v>39</v>
      </c>
      <c r="AD58" s="11"/>
    </row>
    <row r="59" spans="2:30">
      <c r="B59" s="60">
        <v>45524</v>
      </c>
      <c r="C59" s="10" t="s">
        <v>101</v>
      </c>
      <c r="D59" s="7" t="s">
        <v>110</v>
      </c>
      <c r="E59" s="7" t="s">
        <v>105</v>
      </c>
      <c r="F59" s="8"/>
      <c r="G59" s="7" t="s">
        <v>106</v>
      </c>
      <c r="H59" s="91">
        <v>86170</v>
      </c>
      <c r="I59" s="7" t="s">
        <v>35</v>
      </c>
      <c r="J59" s="10" t="s">
        <v>101</v>
      </c>
      <c r="K59" s="8">
        <v>124.98</v>
      </c>
      <c r="L59" s="8">
        <v>7.5359699999999998</v>
      </c>
      <c r="M59" s="9">
        <f t="shared" si="8"/>
        <v>11434.493502495367</v>
      </c>
      <c r="N59" s="8">
        <f t="shared" si="12"/>
        <v>14290.82997941871</v>
      </c>
      <c r="O59" s="8">
        <f t="shared" si="9"/>
        <v>11434.493502495367</v>
      </c>
      <c r="P59" s="8" t="s">
        <v>100</v>
      </c>
      <c r="Q59" s="7" t="s">
        <v>37</v>
      </c>
      <c r="R59" s="73">
        <v>214</v>
      </c>
      <c r="S59" s="13" t="s">
        <v>103</v>
      </c>
      <c r="T59" s="8">
        <f t="shared" si="10"/>
        <v>66.779579343078083</v>
      </c>
      <c r="U59" s="8">
        <f t="shared" si="11"/>
        <v>53.432212628483022</v>
      </c>
      <c r="V59" s="7"/>
      <c r="W59" s="7"/>
      <c r="X59" s="7"/>
      <c r="Y59" s="7"/>
      <c r="Z59" s="7"/>
      <c r="AA59" s="7"/>
      <c r="AB59" s="7"/>
      <c r="AC59" s="7" t="s">
        <v>39</v>
      </c>
      <c r="AD59" s="11"/>
    </row>
    <row r="60" spans="2:30">
      <c r="B60" s="60">
        <v>45525</v>
      </c>
      <c r="C60" s="10" t="s">
        <v>101</v>
      </c>
      <c r="D60" s="7" t="s">
        <v>111</v>
      </c>
      <c r="E60" s="7" t="s">
        <v>105</v>
      </c>
      <c r="F60" s="8"/>
      <c r="G60" s="7" t="s">
        <v>106</v>
      </c>
      <c r="H60" s="91">
        <v>89680</v>
      </c>
      <c r="I60" s="7" t="s">
        <v>35</v>
      </c>
      <c r="J60" s="10" t="s">
        <v>101</v>
      </c>
      <c r="K60" s="8">
        <v>124.9</v>
      </c>
      <c r="L60" s="8">
        <v>7.5396999999999998</v>
      </c>
      <c r="M60" s="9">
        <f t="shared" si="8"/>
        <v>11894.372455137473</v>
      </c>
      <c r="N60" s="8">
        <f t="shared" si="12"/>
        <v>14856.071196466704</v>
      </c>
      <c r="O60" s="8">
        <f t="shared" si="9"/>
        <v>11894.372455137473</v>
      </c>
      <c r="P60" s="7" t="s">
        <v>92</v>
      </c>
      <c r="Q60" s="7" t="s">
        <v>37</v>
      </c>
      <c r="R60" s="92">
        <v>222</v>
      </c>
      <c r="S60" s="13" t="s">
        <v>103</v>
      </c>
      <c r="T60" s="8">
        <f>(N60-V60)/R60</f>
        <v>66.919239623723897</v>
      </c>
      <c r="U60" s="8">
        <f>(O60-V60)/R60</f>
        <v>53.578254302421051</v>
      </c>
      <c r="V60" s="7"/>
      <c r="W60" s="7"/>
      <c r="X60" s="7"/>
      <c r="Y60" s="7"/>
      <c r="Z60" s="7"/>
      <c r="AA60" s="7"/>
      <c r="AB60" s="7"/>
      <c r="AC60" s="7" t="s">
        <v>39</v>
      </c>
      <c r="AD60" s="11"/>
    </row>
    <row r="61" spans="2:30">
      <c r="B61" s="60">
        <v>45525</v>
      </c>
      <c r="C61" s="10" t="s">
        <v>101</v>
      </c>
      <c r="D61" s="7" t="s">
        <v>112</v>
      </c>
      <c r="E61" s="7" t="s">
        <v>105</v>
      </c>
      <c r="F61" s="8"/>
      <c r="G61" s="7" t="s">
        <v>106</v>
      </c>
      <c r="H61" s="91">
        <f>84530-(70*396.85446)</f>
        <v>56750.1878</v>
      </c>
      <c r="I61" s="7" t="s">
        <v>35</v>
      </c>
      <c r="J61" s="10" t="s">
        <v>101</v>
      </c>
      <c r="K61" s="8">
        <v>125</v>
      </c>
      <c r="L61" s="8">
        <v>7.5364899999999997</v>
      </c>
      <c r="M61" s="9">
        <f t="shared" si="8"/>
        <v>7530.0554767537678</v>
      </c>
      <c r="N61" s="8">
        <v>9429.89</v>
      </c>
      <c r="O61" s="8">
        <f t="shared" si="9"/>
        <v>7530.0554767537678</v>
      </c>
      <c r="P61" s="7" t="s">
        <v>92</v>
      </c>
      <c r="Q61" s="7" t="s">
        <v>37</v>
      </c>
      <c r="R61" s="73">
        <v>143</v>
      </c>
      <c r="S61" s="13" t="s">
        <v>103</v>
      </c>
      <c r="T61" s="8">
        <f t="shared" si="10"/>
        <v>65.94328671328671</v>
      </c>
      <c r="U61" s="8">
        <f t="shared" si="11"/>
        <v>52.657730606669702</v>
      </c>
      <c r="V61" s="7"/>
      <c r="W61" s="7"/>
      <c r="X61" s="7"/>
      <c r="Y61" s="7"/>
      <c r="Z61" s="7"/>
      <c r="AA61" s="7"/>
      <c r="AB61" s="7"/>
      <c r="AC61" s="7" t="s">
        <v>39</v>
      </c>
      <c r="AD61" s="11"/>
    </row>
    <row r="62" spans="2:30">
      <c r="B62" s="93">
        <v>45526</v>
      </c>
      <c r="C62" s="98" t="s">
        <v>113</v>
      </c>
      <c r="D62" s="26" t="s">
        <v>114</v>
      </c>
      <c r="E62" s="26" t="s">
        <v>105</v>
      </c>
      <c r="F62" s="95"/>
      <c r="G62" s="26" t="s">
        <v>106</v>
      </c>
      <c r="H62" s="95">
        <v>87420</v>
      </c>
      <c r="I62" s="26" t="s">
        <v>35</v>
      </c>
      <c r="J62" s="98" t="s">
        <v>113</v>
      </c>
      <c r="K62" s="99">
        <v>120.03</v>
      </c>
      <c r="L62" s="95">
        <v>7.5815400000000004</v>
      </c>
      <c r="M62" s="96">
        <f t="shared" si="8"/>
        <v>11530.63889394503</v>
      </c>
      <c r="N62" s="95">
        <f t="shared" si="12"/>
        <v>13840.225864402219</v>
      </c>
      <c r="O62" s="95">
        <f t="shared" si="9"/>
        <v>11530.63889394503</v>
      </c>
      <c r="P62" s="26" t="s">
        <v>92</v>
      </c>
      <c r="Q62" s="26" t="s">
        <v>37</v>
      </c>
      <c r="R62" s="100">
        <v>215</v>
      </c>
      <c r="S62" s="27" t="s">
        <v>103</v>
      </c>
      <c r="T62" s="95">
        <f t="shared" si="10"/>
        <v>64.37314355535915</v>
      </c>
      <c r="U62" s="95">
        <f t="shared" si="11"/>
        <v>53.630878576488513</v>
      </c>
      <c r="V62" s="26"/>
      <c r="W62" s="26"/>
      <c r="X62" s="26"/>
      <c r="Y62" s="26"/>
      <c r="Z62" s="26"/>
      <c r="AA62" s="26"/>
      <c r="AB62" s="26"/>
      <c r="AC62" s="26" t="s">
        <v>39</v>
      </c>
      <c r="AD62" s="97"/>
    </row>
    <row r="63" spans="2:30">
      <c r="B63" s="93">
        <v>45526</v>
      </c>
      <c r="C63" s="98" t="s">
        <v>113</v>
      </c>
      <c r="D63" s="26" t="s">
        <v>115</v>
      </c>
      <c r="E63" s="26" t="s">
        <v>105</v>
      </c>
      <c r="F63" s="95"/>
      <c r="G63" s="26" t="s">
        <v>106</v>
      </c>
      <c r="H63" s="95">
        <v>84360</v>
      </c>
      <c r="I63" s="26" t="s">
        <v>35</v>
      </c>
      <c r="J63" s="98" t="s">
        <v>113</v>
      </c>
      <c r="K63" s="95">
        <v>119.71</v>
      </c>
      <c r="L63" s="95">
        <v>7.5887000000000002</v>
      </c>
      <c r="M63" s="96">
        <f t="shared" si="8"/>
        <v>11116.528522671868</v>
      </c>
      <c r="N63" s="95">
        <f t="shared" si="12"/>
        <v>13307.596294490491</v>
      </c>
      <c r="O63" s="95">
        <f t="shared" si="9"/>
        <v>11116.528522671868</v>
      </c>
      <c r="P63" s="26" t="s">
        <v>92</v>
      </c>
      <c r="Q63" s="26" t="s">
        <v>37</v>
      </c>
      <c r="R63" s="100">
        <v>211</v>
      </c>
      <c r="S63" s="27" t="s">
        <v>103</v>
      </c>
      <c r="T63" s="95">
        <f t="shared" si="10"/>
        <v>63.069176751139771</v>
      </c>
      <c r="U63" s="95">
        <f t="shared" si="11"/>
        <v>52.684969301762408</v>
      </c>
      <c r="V63" s="26"/>
      <c r="W63" s="26"/>
      <c r="X63" s="26"/>
      <c r="Y63" s="26"/>
      <c r="Z63" s="26"/>
      <c r="AA63" s="26"/>
      <c r="AB63" s="26"/>
      <c r="AC63" s="26" t="s">
        <v>39</v>
      </c>
      <c r="AD63" s="97"/>
    </row>
    <row r="64" spans="2:30">
      <c r="B64" s="93">
        <v>45527</v>
      </c>
      <c r="C64" s="98" t="s">
        <v>113</v>
      </c>
      <c r="D64" s="26" t="s">
        <v>116</v>
      </c>
      <c r="E64" s="26" t="s">
        <v>105</v>
      </c>
      <c r="F64" s="95"/>
      <c r="G64" s="26" t="s">
        <v>106</v>
      </c>
      <c r="H64" s="95">
        <f>(400*95)</f>
        <v>38000</v>
      </c>
      <c r="I64" s="26" t="s">
        <v>35</v>
      </c>
      <c r="J64" s="98" t="s">
        <v>113</v>
      </c>
      <c r="K64" s="95">
        <v>120.28</v>
      </c>
      <c r="L64" s="95">
        <v>7.5832899999999999</v>
      </c>
      <c r="M64" s="96">
        <f t="shared" si="8"/>
        <v>5011.0176453755557</v>
      </c>
      <c r="N64" s="95">
        <f t="shared" si="12"/>
        <v>6027.252023857719</v>
      </c>
      <c r="O64" s="95">
        <f t="shared" si="9"/>
        <v>5011.0176453755557</v>
      </c>
      <c r="P64" s="95" t="s">
        <v>100</v>
      </c>
      <c r="Q64" s="26" t="s">
        <v>37</v>
      </c>
      <c r="R64" s="100">
        <v>95</v>
      </c>
      <c r="S64" s="27" t="s">
        <v>103</v>
      </c>
      <c r="T64" s="95">
        <f t="shared" si="10"/>
        <v>63.444758145870729</v>
      </c>
      <c r="U64" s="95">
        <f t="shared" si="11"/>
        <v>52.747554161847958</v>
      </c>
      <c r="V64" s="26"/>
      <c r="W64" s="26"/>
      <c r="X64" s="26"/>
      <c r="Y64" s="26"/>
      <c r="Z64" s="26"/>
      <c r="AA64" s="26"/>
      <c r="AB64" s="26"/>
      <c r="AC64" s="26" t="s">
        <v>39</v>
      </c>
      <c r="AD64" s="97"/>
    </row>
    <row r="65" spans="1:30">
      <c r="B65" s="60">
        <v>45527</v>
      </c>
      <c r="C65" s="10" t="s">
        <v>117</v>
      </c>
      <c r="D65" s="7" t="s">
        <v>118</v>
      </c>
      <c r="E65" s="7" t="s">
        <v>105</v>
      </c>
      <c r="F65" s="8"/>
      <c r="G65" s="7" t="s">
        <v>106</v>
      </c>
      <c r="H65" s="8">
        <f>86510-(400*95)</f>
        <v>48510</v>
      </c>
      <c r="I65" s="7" t="s">
        <v>35</v>
      </c>
      <c r="J65" s="10" t="s">
        <v>117</v>
      </c>
      <c r="K65" s="8">
        <v>120.28</v>
      </c>
      <c r="L65" s="8">
        <v>7.5832899999999999</v>
      </c>
      <c r="M65" s="9">
        <f t="shared" si="8"/>
        <v>6396.9596309781109</v>
      </c>
      <c r="N65" s="8">
        <f t="shared" si="12"/>
        <v>7694.2630441404726</v>
      </c>
      <c r="O65" s="8">
        <f t="shared" si="9"/>
        <v>6396.9596309781109</v>
      </c>
      <c r="P65" s="8" t="s">
        <v>100</v>
      </c>
      <c r="Q65" s="7" t="s">
        <v>37</v>
      </c>
      <c r="R65" s="7">
        <v>119</v>
      </c>
      <c r="S65" s="13" t="s">
        <v>103</v>
      </c>
      <c r="T65" s="8">
        <f t="shared" si="10"/>
        <v>64.657672639835909</v>
      </c>
      <c r="U65" s="8">
        <f t="shared" si="11"/>
        <v>53.755963285530342</v>
      </c>
      <c r="V65" s="7"/>
      <c r="W65" s="7"/>
      <c r="X65" s="7"/>
      <c r="Y65" s="7"/>
      <c r="Z65" s="7"/>
      <c r="AA65" s="7"/>
      <c r="AB65" s="7"/>
      <c r="AC65" s="7" t="s">
        <v>39</v>
      </c>
      <c r="AD65" s="11"/>
    </row>
    <row r="66" spans="1:30">
      <c r="B66" s="60">
        <v>45527</v>
      </c>
      <c r="C66" s="10" t="s">
        <v>117</v>
      </c>
      <c r="D66" s="7" t="s">
        <v>119</v>
      </c>
      <c r="E66" s="7" t="s">
        <v>105</v>
      </c>
      <c r="F66" s="8"/>
      <c r="G66" s="7" t="s">
        <v>106</v>
      </c>
      <c r="H66" s="8">
        <v>88570</v>
      </c>
      <c r="I66" s="7" t="s">
        <v>35</v>
      </c>
      <c r="J66" s="10" t="s">
        <v>117</v>
      </c>
      <c r="K66" s="8">
        <v>120.12</v>
      </c>
      <c r="L66" s="8">
        <v>7.5848000000000004</v>
      </c>
      <c r="M66" s="9">
        <f t="shared" si="8"/>
        <v>11677.301972365784</v>
      </c>
      <c r="N66" s="8">
        <f t="shared" si="12"/>
        <v>14026.77512920578</v>
      </c>
      <c r="O66" s="8">
        <f t="shared" si="9"/>
        <v>11677.301972365784</v>
      </c>
      <c r="P66" s="8" t="s">
        <v>100</v>
      </c>
      <c r="Q66" s="7" t="s">
        <v>37</v>
      </c>
      <c r="R66" s="7">
        <v>228</v>
      </c>
      <c r="S66" s="13" t="s">
        <v>103</v>
      </c>
      <c r="T66" s="8">
        <f t="shared" si="10"/>
        <v>61.520943549148157</v>
      </c>
      <c r="U66" s="8">
        <f t="shared" si="11"/>
        <v>51.216236720902558</v>
      </c>
      <c r="V66" s="7"/>
      <c r="W66" s="7"/>
      <c r="X66" s="7"/>
      <c r="Y66" s="7"/>
      <c r="Z66" s="7"/>
      <c r="AA66" s="7"/>
      <c r="AB66" s="7"/>
      <c r="AC66" s="7" t="s">
        <v>39</v>
      </c>
      <c r="AD66" s="11"/>
    </row>
    <row r="67" spans="1:30">
      <c r="A67" s="2"/>
      <c r="B67" s="60">
        <v>45530</v>
      </c>
      <c r="C67" s="10" t="s">
        <v>117</v>
      </c>
      <c r="D67" s="7" t="s">
        <v>120</v>
      </c>
      <c r="E67" s="7" t="s">
        <v>66</v>
      </c>
      <c r="F67" s="8"/>
      <c r="G67" s="7" t="s">
        <v>34</v>
      </c>
      <c r="H67" s="8">
        <v>33990</v>
      </c>
      <c r="I67" s="7" t="s">
        <v>35</v>
      </c>
      <c r="J67" s="7" t="s">
        <v>117</v>
      </c>
      <c r="K67" s="8">
        <v>120.09</v>
      </c>
      <c r="L67" s="8">
        <v>7.5832899999999999</v>
      </c>
      <c r="M67" s="9">
        <f t="shared" si="8"/>
        <v>4482.2234149030301</v>
      </c>
      <c r="N67" s="8">
        <f t="shared" si="12"/>
        <v>5382.7020989570492</v>
      </c>
      <c r="O67" s="8">
        <f t="shared" si="9"/>
        <v>4482.2234149030301</v>
      </c>
      <c r="P67" s="7" t="s">
        <v>36</v>
      </c>
      <c r="Q67" s="7" t="s">
        <v>37</v>
      </c>
      <c r="R67" s="7">
        <v>84</v>
      </c>
      <c r="S67" s="13" t="s">
        <v>103</v>
      </c>
      <c r="T67" s="8">
        <f t="shared" si="10"/>
        <v>64.079786892345822</v>
      </c>
      <c r="U67" s="8">
        <f t="shared" si="11"/>
        <v>53.359802558369402</v>
      </c>
      <c r="V67" s="7"/>
      <c r="W67" s="7"/>
      <c r="X67" s="7"/>
      <c r="Y67" s="7"/>
      <c r="Z67" s="7"/>
      <c r="AA67" s="7"/>
      <c r="AB67" s="7"/>
      <c r="AC67" s="7" t="s">
        <v>39</v>
      </c>
      <c r="AD67" s="11"/>
    </row>
    <row r="68" spans="1:30">
      <c r="B68" s="60">
        <v>45530</v>
      </c>
      <c r="C68" s="10" t="s">
        <v>117</v>
      </c>
      <c r="D68" s="7" t="s">
        <v>121</v>
      </c>
      <c r="E68" s="7" t="s">
        <v>66</v>
      </c>
      <c r="F68" s="8"/>
      <c r="G68" s="7" t="s">
        <v>43</v>
      </c>
      <c r="H68" s="8">
        <v>91110</v>
      </c>
      <c r="I68" s="7" t="s">
        <v>35</v>
      </c>
      <c r="J68" s="7" t="s">
        <v>117</v>
      </c>
      <c r="K68" s="8">
        <v>120.24</v>
      </c>
      <c r="L68" s="8">
        <v>7.5832899999999999</v>
      </c>
      <c r="M68" s="9">
        <f t="shared" si="8"/>
        <v>12014.574149214919</v>
      </c>
      <c r="N68" s="8">
        <f t="shared" si="12"/>
        <v>14446.323957016019</v>
      </c>
      <c r="O68" s="8">
        <f t="shared" si="9"/>
        <v>12014.574149214919</v>
      </c>
      <c r="P68" s="7" t="s">
        <v>36</v>
      </c>
      <c r="Q68" s="7" t="s">
        <v>37</v>
      </c>
      <c r="R68" s="7">
        <v>227</v>
      </c>
      <c r="S68" s="13" t="s">
        <v>103</v>
      </c>
      <c r="T68" s="8">
        <f t="shared" si="10"/>
        <v>63.64019364324237</v>
      </c>
      <c r="U68" s="8">
        <f t="shared" si="11"/>
        <v>52.927639423854266</v>
      </c>
      <c r="V68" s="7"/>
      <c r="W68" s="7"/>
      <c r="X68" s="7"/>
      <c r="Y68" s="7"/>
      <c r="Z68" s="7"/>
      <c r="AA68" s="7"/>
      <c r="AB68" s="7"/>
      <c r="AC68" s="7" t="s">
        <v>39</v>
      </c>
      <c r="AD68" s="11"/>
    </row>
    <row r="69" spans="1:30">
      <c r="B69" s="93">
        <v>45531</v>
      </c>
      <c r="C69" s="98" t="s">
        <v>122</v>
      </c>
      <c r="D69" s="26" t="s">
        <v>123</v>
      </c>
      <c r="E69" s="26" t="s">
        <v>105</v>
      </c>
      <c r="F69" s="95"/>
      <c r="G69" s="26" t="s">
        <v>106</v>
      </c>
      <c r="H69" s="95">
        <v>83710</v>
      </c>
      <c r="I69" s="26" t="s">
        <v>35</v>
      </c>
      <c r="J69" s="98" t="s">
        <v>122</v>
      </c>
      <c r="K69" s="95">
        <v>119.98</v>
      </c>
      <c r="L69" s="95">
        <v>7.5861099999999997</v>
      </c>
      <c r="M69" s="96">
        <f t="shared" si="8"/>
        <v>11034.640942459311</v>
      </c>
      <c r="N69" s="95">
        <f t="shared" si="12"/>
        <v>13239.362202762681</v>
      </c>
      <c r="O69" s="95">
        <f t="shared" si="9"/>
        <v>11034.640942459311</v>
      </c>
      <c r="P69" s="26" t="s">
        <v>36</v>
      </c>
      <c r="Q69" s="26" t="s">
        <v>37</v>
      </c>
      <c r="R69" s="100">
        <v>208</v>
      </c>
      <c r="S69" s="27" t="s">
        <v>103</v>
      </c>
      <c r="T69" s="95">
        <f t="shared" si="10"/>
        <v>63.650779820974428</v>
      </c>
      <c r="U69" s="95">
        <f t="shared" si="11"/>
        <v>53.051158377208225</v>
      </c>
      <c r="V69" s="26"/>
      <c r="W69" s="26"/>
      <c r="X69" s="26"/>
      <c r="Y69" s="26"/>
      <c r="Z69" s="26"/>
      <c r="AA69" s="26"/>
      <c r="AB69" s="26"/>
      <c r="AC69" s="26" t="s">
        <v>39</v>
      </c>
      <c r="AD69" s="97"/>
    </row>
    <row r="70" spans="1:30">
      <c r="B70" s="93">
        <v>45531</v>
      </c>
      <c r="C70" s="98" t="s">
        <v>122</v>
      </c>
      <c r="D70" s="26" t="s">
        <v>124</v>
      </c>
      <c r="E70" s="26" t="s">
        <v>45</v>
      </c>
      <c r="F70" s="95"/>
      <c r="G70" s="26" t="s">
        <v>45</v>
      </c>
      <c r="H70" s="95">
        <f>402.5*404</f>
        <v>162610</v>
      </c>
      <c r="I70" s="26" t="s">
        <v>35</v>
      </c>
      <c r="J70" s="98" t="s">
        <v>122</v>
      </c>
      <c r="K70" s="95">
        <v>119.77</v>
      </c>
      <c r="L70" s="95">
        <v>7.5880999999999998</v>
      </c>
      <c r="M70" s="96">
        <f t="shared" si="8"/>
        <v>21429.606884463832</v>
      </c>
      <c r="N70" s="95">
        <f t="shared" si="12"/>
        <v>25666.240165522333</v>
      </c>
      <c r="O70" s="95">
        <f t="shared" si="9"/>
        <v>21429.606884463832</v>
      </c>
      <c r="P70" s="26" t="s">
        <v>36</v>
      </c>
      <c r="Q70" s="26" t="s">
        <v>37</v>
      </c>
      <c r="R70" s="26">
        <v>404</v>
      </c>
      <c r="S70" s="27" t="s">
        <v>103</v>
      </c>
      <c r="T70" s="95">
        <f t="shared" si="10"/>
        <v>63.530297439411719</v>
      </c>
      <c r="U70" s="95">
        <f t="shared" si="11"/>
        <v>53.043581397187701</v>
      </c>
      <c r="V70" s="26"/>
      <c r="W70" s="26"/>
      <c r="X70" s="26"/>
      <c r="Y70" s="26"/>
      <c r="Z70" s="26"/>
      <c r="AA70" s="26"/>
      <c r="AB70" s="26"/>
      <c r="AC70" s="26" t="s">
        <v>39</v>
      </c>
      <c r="AD70" s="97"/>
    </row>
    <row r="71" spans="1:30">
      <c r="B71" s="93">
        <v>45532</v>
      </c>
      <c r="C71" s="98" t="s">
        <v>122</v>
      </c>
      <c r="D71" s="26" t="s">
        <v>125</v>
      </c>
      <c r="E71" s="26" t="s">
        <v>45</v>
      </c>
      <c r="F71" s="95"/>
      <c r="G71" s="26" t="s">
        <v>45</v>
      </c>
      <c r="H71" s="95">
        <v>26170</v>
      </c>
      <c r="I71" s="26" t="s">
        <v>35</v>
      </c>
      <c r="J71" s="98" t="s">
        <v>122</v>
      </c>
      <c r="K71" s="95">
        <v>119.82</v>
      </c>
      <c r="L71" s="95">
        <v>7.5880999999999998</v>
      </c>
      <c r="M71" s="96">
        <f t="shared" si="8"/>
        <v>3448.8211805326764</v>
      </c>
      <c r="N71" s="95">
        <f t="shared" si="12"/>
        <v>4132.3775385142526</v>
      </c>
      <c r="O71" s="95">
        <f t="shared" si="9"/>
        <v>3448.8211805326764</v>
      </c>
      <c r="P71" s="26" t="s">
        <v>36</v>
      </c>
      <c r="Q71" s="26" t="s">
        <v>37</v>
      </c>
      <c r="R71" s="26">
        <v>65</v>
      </c>
      <c r="S71" s="27" t="s">
        <v>103</v>
      </c>
      <c r="T71" s="95">
        <f t="shared" si="10"/>
        <v>63.575039054065428</v>
      </c>
      <c r="U71" s="95">
        <f t="shared" si="11"/>
        <v>53.058787392810409</v>
      </c>
      <c r="V71" s="26"/>
      <c r="W71" s="26"/>
      <c r="X71" s="26"/>
      <c r="Y71" s="26"/>
      <c r="Z71" s="26"/>
      <c r="AA71" s="26"/>
      <c r="AB71" s="26"/>
      <c r="AC71" s="26" t="s">
        <v>39</v>
      </c>
      <c r="AD71" s="97"/>
    </row>
    <row r="72" spans="1:30">
      <c r="B72" s="93">
        <v>45533</v>
      </c>
      <c r="C72" s="98" t="s">
        <v>122</v>
      </c>
      <c r="D72" s="26" t="s">
        <v>126</v>
      </c>
      <c r="E72" s="26"/>
      <c r="F72" s="95"/>
      <c r="G72" s="26"/>
      <c r="H72" s="95">
        <f>402.45*180</f>
        <v>72441</v>
      </c>
      <c r="I72" s="26" t="s">
        <v>35</v>
      </c>
      <c r="J72" s="98" t="s">
        <v>122</v>
      </c>
      <c r="K72" s="95">
        <v>119.98</v>
      </c>
      <c r="L72" s="95">
        <f>0.909027*8.3454</f>
        <v>7.5861939258</v>
      </c>
      <c r="M72" s="96">
        <f>(H72/L72)</f>
        <v>9549.0572358866702</v>
      </c>
      <c r="N72" s="95">
        <f>(M72*(K72/100))</f>
        <v>11456.958871616827</v>
      </c>
      <c r="O72" s="95">
        <f>H72/L72</f>
        <v>9549.0572358866702</v>
      </c>
      <c r="P72" s="26" t="s">
        <v>36</v>
      </c>
      <c r="Q72" s="26" t="s">
        <v>37</v>
      </c>
      <c r="R72" s="100">
        <v>180</v>
      </c>
      <c r="S72" s="27" t="s">
        <v>103</v>
      </c>
      <c r="T72" s="95">
        <f>(N72-V72)/R72</f>
        <v>63.649771508982376</v>
      </c>
      <c r="U72" s="95">
        <f>(O72-V72)/R72</f>
        <v>53.050317977148168</v>
      </c>
      <c r="V72" s="26"/>
      <c r="W72" s="26"/>
      <c r="X72" s="26"/>
      <c r="Y72" s="26"/>
      <c r="Z72" s="26"/>
      <c r="AA72" s="26"/>
      <c r="AB72" s="26"/>
      <c r="AC72" s="26" t="s">
        <v>39</v>
      </c>
      <c r="AD72" s="97"/>
    </row>
    <row r="73" spans="1:30">
      <c r="B73" s="93">
        <v>45534</v>
      </c>
      <c r="C73" s="98" t="s">
        <v>122</v>
      </c>
      <c r="D73" s="26" t="s">
        <v>127</v>
      </c>
      <c r="E73" s="26"/>
      <c r="F73" s="95"/>
      <c r="G73" s="26"/>
      <c r="H73" s="95">
        <f>402.5*193</f>
        <v>77682.5</v>
      </c>
      <c r="I73" s="26" t="s">
        <v>35</v>
      </c>
      <c r="J73" s="98" t="s">
        <v>122</v>
      </c>
      <c r="K73" s="95">
        <v>119.83</v>
      </c>
      <c r="L73" s="95">
        <v>7.5869999999999997</v>
      </c>
      <c r="M73" s="96">
        <f>(H73/L73)</f>
        <v>10238.895479109002</v>
      </c>
      <c r="N73" s="95">
        <f>(M73*(K73/100))</f>
        <v>12269.268452616316</v>
      </c>
      <c r="O73" s="95">
        <f>H73/L73</f>
        <v>10238.895479109002</v>
      </c>
      <c r="P73" s="26" t="s">
        <v>36</v>
      </c>
      <c r="Q73" s="26" t="s">
        <v>37</v>
      </c>
      <c r="R73" s="100">
        <v>192</v>
      </c>
      <c r="S73" s="27" t="s">
        <v>103</v>
      </c>
      <c r="T73" s="95">
        <f>(N73-V73)/R73</f>
        <v>63.902439857376642</v>
      </c>
      <c r="U73" s="95">
        <f>(O73-V73)/R73</f>
        <v>53.327580620359385</v>
      </c>
      <c r="V73" s="26"/>
      <c r="W73" s="26"/>
      <c r="X73" s="26"/>
      <c r="Y73" s="26"/>
      <c r="Z73" s="26"/>
      <c r="AA73" s="26"/>
      <c r="AB73" s="26"/>
      <c r="AC73" s="26" t="s">
        <v>39</v>
      </c>
      <c r="AD73" s="97"/>
    </row>
    <row r="74" spans="1:30">
      <c r="B74" s="60">
        <v>45532</v>
      </c>
      <c r="C74" s="10" t="s">
        <v>128</v>
      </c>
      <c r="D74" s="7" t="s">
        <v>129</v>
      </c>
      <c r="E74" s="7" t="s">
        <v>34</v>
      </c>
      <c r="F74" s="8"/>
      <c r="G74" s="7" t="s">
        <v>106</v>
      </c>
      <c r="H74" s="8">
        <v>80900</v>
      </c>
      <c r="I74" s="7" t="s">
        <v>35</v>
      </c>
      <c r="J74" s="10" t="s">
        <v>128</v>
      </c>
      <c r="K74" s="8">
        <v>119.82</v>
      </c>
      <c r="L74" s="8">
        <v>7.5876099999999997</v>
      </c>
      <c r="M74" s="9">
        <f t="shared" si="8"/>
        <v>10662.118901735857</v>
      </c>
      <c r="N74" s="8">
        <f t="shared" ref="N74:N98" si="13">(M74*(K74/100))</f>
        <v>12775.350868059904</v>
      </c>
      <c r="O74" s="8">
        <f t="shared" si="9"/>
        <v>10662.118901735857</v>
      </c>
      <c r="P74" s="7" t="s">
        <v>130</v>
      </c>
      <c r="Q74" s="7" t="s">
        <v>37</v>
      </c>
      <c r="R74" s="73">
        <v>201</v>
      </c>
      <c r="S74" s="13" t="s">
        <v>103</v>
      </c>
      <c r="T74" s="8">
        <f t="shared" ref="T74:T98" si="14">(N74-V74)/R74</f>
        <v>63.558959542586585</v>
      </c>
      <c r="U74" s="8">
        <f t="shared" ref="U74:U98" si="15">(O74-V74)/R74</f>
        <v>53.04536767032765</v>
      </c>
      <c r="V74" s="7"/>
      <c r="W74" s="7"/>
      <c r="X74" s="7"/>
      <c r="Y74" s="7"/>
      <c r="Z74" s="7"/>
      <c r="AA74" s="7"/>
      <c r="AB74" s="7"/>
      <c r="AC74" s="7" t="s">
        <v>39</v>
      </c>
      <c r="AD74" s="11"/>
    </row>
    <row r="75" spans="1:30">
      <c r="B75" s="60">
        <v>45532</v>
      </c>
      <c r="C75" s="10" t="s">
        <v>128</v>
      </c>
      <c r="D75" s="7" t="s">
        <v>131</v>
      </c>
      <c r="E75" s="7" t="s">
        <v>43</v>
      </c>
      <c r="F75" s="8"/>
      <c r="G75" s="7" t="s">
        <v>106</v>
      </c>
      <c r="H75" s="8">
        <f>402.5*130</f>
        <v>52325</v>
      </c>
      <c r="I75" s="7" t="s">
        <v>35</v>
      </c>
      <c r="J75" s="10" t="s">
        <v>128</v>
      </c>
      <c r="K75" s="8">
        <v>120.26</v>
      </c>
      <c r="L75" s="8">
        <f>0.908713*8.3454</f>
        <v>7.5835734701999993</v>
      </c>
      <c r="M75" s="9">
        <f t="shared" si="8"/>
        <v>6899.7815087588315</v>
      </c>
      <c r="N75" s="8">
        <f t="shared" si="13"/>
        <v>8297.6772424333722</v>
      </c>
      <c r="O75" s="8">
        <f t="shared" si="9"/>
        <v>6899.7815087588315</v>
      </c>
      <c r="P75" s="7" t="s">
        <v>130</v>
      </c>
      <c r="Q75" s="7" t="s">
        <v>37</v>
      </c>
      <c r="R75" s="73">
        <v>131</v>
      </c>
      <c r="S75" s="13" t="s">
        <v>103</v>
      </c>
      <c r="T75" s="8">
        <f t="shared" si="14"/>
        <v>63.341047652163148</v>
      </c>
      <c r="U75" s="8">
        <f t="shared" si="15"/>
        <v>52.670087853120855</v>
      </c>
      <c r="V75" s="7"/>
      <c r="W75" s="7"/>
      <c r="X75" s="7"/>
      <c r="Y75" s="7"/>
      <c r="Z75" s="7"/>
      <c r="AA75" s="7"/>
      <c r="AB75" s="7"/>
      <c r="AC75" s="7" t="s">
        <v>39</v>
      </c>
      <c r="AD75" s="11"/>
    </row>
    <row r="76" spans="1:30">
      <c r="B76" s="60">
        <v>45533</v>
      </c>
      <c r="C76" s="10" t="s">
        <v>128</v>
      </c>
      <c r="D76" s="7" t="s">
        <v>132</v>
      </c>
      <c r="E76" s="7" t="s">
        <v>105</v>
      </c>
      <c r="F76" s="8"/>
      <c r="G76" s="7" t="s">
        <v>106</v>
      </c>
      <c r="H76" s="8">
        <f>84290-(402.5*41)</f>
        <v>67787.5</v>
      </c>
      <c r="I76" s="7" t="s">
        <v>35</v>
      </c>
      <c r="J76" s="10" t="s">
        <v>128</v>
      </c>
      <c r="K76" s="8">
        <v>119.96</v>
      </c>
      <c r="L76" s="8">
        <f>0.90908*8.3454</f>
        <v>7.586636232</v>
      </c>
      <c r="M76" s="9">
        <f t="shared" si="8"/>
        <v>8935.1193239075019</v>
      </c>
      <c r="N76" s="8">
        <f t="shared" si="13"/>
        <v>10718.56914095944</v>
      </c>
      <c r="O76" s="8">
        <f t="shared" si="9"/>
        <v>8935.1193239075019</v>
      </c>
      <c r="P76" s="7" t="s">
        <v>130</v>
      </c>
      <c r="Q76" s="7" t="s">
        <v>37</v>
      </c>
      <c r="R76" s="73">
        <v>168</v>
      </c>
      <c r="S76" s="13" t="s">
        <v>103</v>
      </c>
      <c r="T76" s="8">
        <f t="shared" si="14"/>
        <v>63.801006791425237</v>
      </c>
      <c r="U76" s="8">
        <f t="shared" si="15"/>
        <v>53.185234070877989</v>
      </c>
      <c r="V76" s="7"/>
      <c r="W76" s="7"/>
      <c r="X76" s="7"/>
      <c r="Y76" s="7"/>
      <c r="Z76" s="7"/>
      <c r="AA76" s="7"/>
      <c r="AB76" s="7"/>
      <c r="AC76" s="7" t="s">
        <v>39</v>
      </c>
      <c r="AD76" s="11"/>
    </row>
    <row r="77" spans="1:30">
      <c r="B77" s="93">
        <v>45534</v>
      </c>
      <c r="C77" s="94" t="s">
        <v>133</v>
      </c>
      <c r="D77" s="26" t="s">
        <v>134</v>
      </c>
      <c r="E77" s="26"/>
      <c r="F77" s="95"/>
      <c r="G77" s="26" t="s">
        <v>106</v>
      </c>
      <c r="H77" s="95">
        <v>44380</v>
      </c>
      <c r="I77" s="26" t="s">
        <v>35</v>
      </c>
      <c r="J77" s="94" t="s">
        <v>133</v>
      </c>
      <c r="K77" s="95">
        <v>110.22</v>
      </c>
      <c r="L77" s="95">
        <v>7.6745549999999998</v>
      </c>
      <c r="M77" s="96">
        <f t="shared" si="8"/>
        <v>5782.745709686099</v>
      </c>
      <c r="N77" s="95">
        <f t="shared" si="13"/>
        <v>6373.7423212160184</v>
      </c>
      <c r="O77" s="95">
        <f t="shared" si="9"/>
        <v>5782.745709686099</v>
      </c>
      <c r="P77" s="26" t="s">
        <v>36</v>
      </c>
      <c r="Q77" s="26" t="s">
        <v>37</v>
      </c>
      <c r="R77" s="26">
        <v>108</v>
      </c>
      <c r="S77" s="27" t="s">
        <v>103</v>
      </c>
      <c r="T77" s="95">
        <f t="shared" si="14"/>
        <v>59.016132603852022</v>
      </c>
      <c r="U77" s="95">
        <f t="shared" si="15"/>
        <v>53.543941756352766</v>
      </c>
      <c r="V77" s="26"/>
      <c r="W77" s="26"/>
      <c r="X77" s="26"/>
      <c r="Y77" s="26"/>
      <c r="Z77" s="26"/>
      <c r="AA77" s="26"/>
      <c r="AB77" s="26"/>
      <c r="AC77" s="26" t="s">
        <v>39</v>
      </c>
      <c r="AD77" s="97"/>
    </row>
    <row r="78" spans="1:30">
      <c r="B78" s="143">
        <v>45534</v>
      </c>
      <c r="C78" s="141" t="s">
        <v>135</v>
      </c>
      <c r="D78" s="144" t="s">
        <v>136</v>
      </c>
      <c r="E78" s="144"/>
      <c r="F78" s="145"/>
      <c r="G78" s="144" t="s">
        <v>106</v>
      </c>
      <c r="H78" s="145">
        <f>46495-404.30434</f>
        <v>46090.695659999998</v>
      </c>
      <c r="I78" s="144" t="s">
        <v>137</v>
      </c>
      <c r="J78" s="141" t="s">
        <v>135</v>
      </c>
      <c r="K78" s="145">
        <v>110.11</v>
      </c>
      <c r="L78" s="145">
        <f>0.919726*8.3454</f>
        <v>7.6754813604000001</v>
      </c>
      <c r="M78" s="146">
        <f t="shared" si="8"/>
        <v>6004.9257493862287</v>
      </c>
      <c r="N78" s="145">
        <f t="shared" si="13"/>
        <v>6612.0237426491767</v>
      </c>
      <c r="O78" s="145">
        <f t="shared" si="9"/>
        <v>6004.9257493862287</v>
      </c>
      <c r="P78" s="144" t="s">
        <v>36</v>
      </c>
      <c r="Q78" s="144" t="s">
        <v>37</v>
      </c>
      <c r="R78" s="147">
        <v>114</v>
      </c>
      <c r="S78" s="148" t="s">
        <v>103</v>
      </c>
      <c r="T78" s="145">
        <f t="shared" si="14"/>
        <v>58.000208268852425</v>
      </c>
      <c r="U78" s="145">
        <f t="shared" si="15"/>
        <v>52.674787275317797</v>
      </c>
      <c r="V78" s="144"/>
      <c r="W78" s="144"/>
      <c r="X78" s="144"/>
      <c r="Y78" s="144"/>
      <c r="Z78" s="144"/>
      <c r="AA78" s="144"/>
      <c r="AB78" s="144"/>
      <c r="AC78" s="144" t="s">
        <v>39</v>
      </c>
      <c r="AD78" s="97"/>
    </row>
    <row r="79" spans="1:30">
      <c r="B79" s="60">
        <v>45525</v>
      </c>
      <c r="C79" s="10" t="s">
        <v>138</v>
      </c>
      <c r="D79" s="7" t="s">
        <v>139</v>
      </c>
      <c r="E79" s="7"/>
      <c r="F79" s="8"/>
      <c r="G79" s="7"/>
      <c r="H79" s="8">
        <f>84530-(145*396.85446)</f>
        <v>26986.103299999995</v>
      </c>
      <c r="I79" s="7" t="s">
        <v>35</v>
      </c>
      <c r="J79" s="10" t="s">
        <v>138</v>
      </c>
      <c r="K79" s="8">
        <v>125</v>
      </c>
      <c r="L79" s="8">
        <v>7.5364899999999997</v>
      </c>
      <c r="M79" s="9">
        <f>(H79/L79)</f>
        <v>3580.725682645369</v>
      </c>
      <c r="N79" s="136">
        <v>4616.72</v>
      </c>
      <c r="O79" s="8">
        <f>H79/L79</f>
        <v>3580.725682645369</v>
      </c>
      <c r="P79" s="7" t="s">
        <v>92</v>
      </c>
      <c r="Q79" s="7" t="s">
        <v>37</v>
      </c>
      <c r="R79" s="7">
        <v>68</v>
      </c>
      <c r="S79" s="13" t="s">
        <v>103</v>
      </c>
      <c r="T79" s="8">
        <f>(N79-V79)/R79</f>
        <v>67.892941176470586</v>
      </c>
      <c r="U79" s="8">
        <f>(O79-V79)/R79</f>
        <v>52.657730627137781</v>
      </c>
      <c r="V79" s="7"/>
      <c r="W79" s="7"/>
      <c r="X79" s="7"/>
      <c r="Y79" s="7"/>
      <c r="Z79" s="7"/>
      <c r="AA79" s="7"/>
      <c r="AB79" s="7"/>
      <c r="AC79" s="7"/>
      <c r="AD79" s="11"/>
    </row>
    <row r="80" spans="1:30">
      <c r="B80" s="60">
        <v>45533</v>
      </c>
      <c r="C80" s="61" t="s">
        <v>140</v>
      </c>
      <c r="D80" s="7" t="s">
        <v>141</v>
      </c>
      <c r="E80" s="7"/>
      <c r="F80" s="8"/>
      <c r="G80" s="7" t="s">
        <v>106</v>
      </c>
      <c r="H80" s="8">
        <f>41*402.5</f>
        <v>16502.5</v>
      </c>
      <c r="I80" s="7" t="s">
        <v>35</v>
      </c>
      <c r="J80" s="61" t="s">
        <v>140</v>
      </c>
      <c r="K80" s="8">
        <v>119.96</v>
      </c>
      <c r="L80" s="8">
        <f>0.90908*8.3454</f>
        <v>7.586636232</v>
      </c>
      <c r="M80" s="9">
        <f t="shared" ref="M80:M107" si="16">(H80/L80)</f>
        <v>2175.2064413466132</v>
      </c>
      <c r="N80" s="8">
        <f>(M80*(K80/100))</f>
        <v>2609.3776470393973</v>
      </c>
      <c r="O80" s="8">
        <f t="shared" ref="O80:O107" si="17">H80/L80</f>
        <v>2175.2064413466132</v>
      </c>
      <c r="P80" s="7" t="s">
        <v>36</v>
      </c>
      <c r="Q80" s="7" t="s">
        <v>37</v>
      </c>
      <c r="R80" s="7">
        <v>41</v>
      </c>
      <c r="S80" s="13" t="s">
        <v>103</v>
      </c>
      <c r="T80" s="8">
        <f t="shared" si="14"/>
        <v>63.643357244863346</v>
      </c>
      <c r="U80" s="8">
        <f t="shared" si="15"/>
        <v>53.05381564260032</v>
      </c>
      <c r="V80" s="7"/>
      <c r="W80" s="7"/>
      <c r="X80" s="7"/>
      <c r="Y80" s="7"/>
      <c r="Z80" s="7"/>
      <c r="AA80" s="7"/>
      <c r="AB80" s="7"/>
      <c r="AC80" s="7" t="s">
        <v>39</v>
      </c>
      <c r="AD80" s="11"/>
    </row>
    <row r="81" spans="2:30">
      <c r="B81" s="60">
        <v>45533</v>
      </c>
      <c r="C81" s="61" t="s">
        <v>140</v>
      </c>
      <c r="D81" s="7" t="s">
        <v>142</v>
      </c>
      <c r="E81" s="7"/>
      <c r="F81" s="8"/>
      <c r="G81" s="7" t="s">
        <v>106</v>
      </c>
      <c r="H81" s="8">
        <v>28115</v>
      </c>
      <c r="I81" s="7" t="s">
        <v>35</v>
      </c>
      <c r="J81" s="61" t="s">
        <v>140</v>
      </c>
      <c r="K81" s="8">
        <v>120.24</v>
      </c>
      <c r="L81" s="8">
        <f>0.908727*8.3454</f>
        <v>7.5836903057999994</v>
      </c>
      <c r="M81" s="9">
        <f t="shared" si="16"/>
        <v>3707.298012749502</v>
      </c>
      <c r="N81" s="8">
        <f t="shared" si="13"/>
        <v>4457.6551305300009</v>
      </c>
      <c r="O81" s="8">
        <f t="shared" si="17"/>
        <v>3707.298012749502</v>
      </c>
      <c r="P81" s="7" t="s">
        <v>36</v>
      </c>
      <c r="Q81" s="7" t="s">
        <v>37</v>
      </c>
      <c r="R81" s="7">
        <v>70</v>
      </c>
      <c r="S81" s="13" t="s">
        <v>103</v>
      </c>
      <c r="T81" s="8">
        <f t="shared" si="14"/>
        <v>63.680787579000011</v>
      </c>
      <c r="U81" s="8">
        <f t="shared" si="15"/>
        <v>52.961400182135741</v>
      </c>
      <c r="V81" s="7"/>
      <c r="W81" s="7"/>
      <c r="X81" s="7"/>
      <c r="Y81" s="7"/>
      <c r="Z81" s="7"/>
      <c r="AA81" s="7"/>
      <c r="AB81" s="7"/>
      <c r="AC81" s="7" t="s">
        <v>39</v>
      </c>
      <c r="AD81" s="11"/>
    </row>
    <row r="82" spans="2:30">
      <c r="B82" s="60">
        <v>45534</v>
      </c>
      <c r="C82" s="10" t="s">
        <v>143</v>
      </c>
      <c r="D82" s="7" t="s">
        <v>144</v>
      </c>
      <c r="E82" s="7"/>
      <c r="F82" s="8"/>
      <c r="G82" s="7"/>
      <c r="H82" s="8">
        <f>402.5*76</f>
        <v>30590</v>
      </c>
      <c r="I82" s="7" t="s">
        <v>35</v>
      </c>
      <c r="J82" s="10" t="s">
        <v>143</v>
      </c>
      <c r="K82" s="8">
        <v>119.83</v>
      </c>
      <c r="L82" s="8">
        <v>7.59</v>
      </c>
      <c r="M82" s="9">
        <f>(H82/L82)</f>
        <v>4030.3030303030305</v>
      </c>
      <c r="N82" s="8">
        <f>(M82*(K82/100))</f>
        <v>4829.5121212121212</v>
      </c>
      <c r="O82" s="8">
        <f>H82/L82</f>
        <v>4030.3030303030305</v>
      </c>
      <c r="P82" s="7" t="s">
        <v>36</v>
      </c>
      <c r="Q82" s="7" t="s">
        <v>37</v>
      </c>
      <c r="R82" s="7">
        <v>76</v>
      </c>
      <c r="S82" s="13" t="s">
        <v>103</v>
      </c>
      <c r="T82" s="8">
        <f>(N82-V82)/R82</f>
        <v>63.546212121212122</v>
      </c>
      <c r="U82" s="8">
        <f>(O82-V82)/R82</f>
        <v>53.030303030303031</v>
      </c>
      <c r="V82" s="7"/>
      <c r="W82" s="7"/>
      <c r="X82" s="7"/>
      <c r="Y82" s="7"/>
      <c r="Z82" s="7"/>
      <c r="AA82" s="7"/>
      <c r="AB82" s="7"/>
      <c r="AC82" s="7" t="s">
        <v>39</v>
      </c>
      <c r="AD82" s="11"/>
    </row>
    <row r="83" spans="2:30">
      <c r="B83" s="143">
        <v>45534</v>
      </c>
      <c r="C83" s="244" t="s">
        <v>145</v>
      </c>
      <c r="D83" s="144" t="s">
        <v>136</v>
      </c>
      <c r="E83" s="144"/>
      <c r="F83" s="145"/>
      <c r="G83" s="144"/>
      <c r="H83" s="145">
        <v>404.30434000000002</v>
      </c>
      <c r="I83" s="144" t="s">
        <v>137</v>
      </c>
      <c r="J83" s="245"/>
      <c r="K83" s="145">
        <v>110.11</v>
      </c>
      <c r="L83" s="145">
        <f>0.919726*8.3454</f>
        <v>7.6754813604000001</v>
      </c>
      <c r="M83" s="146">
        <f t="shared" ref="M83" si="18">(H83/L83)</f>
        <v>52.674786246752099</v>
      </c>
      <c r="N83" s="145">
        <f t="shared" ref="N83" si="19">(M83*(K83/100))</f>
        <v>58.000207136298734</v>
      </c>
      <c r="O83" s="145">
        <f t="shared" ref="O83" si="20">H83/L83</f>
        <v>52.674786246752099</v>
      </c>
      <c r="P83" s="144" t="s">
        <v>36</v>
      </c>
      <c r="Q83" s="144" t="s">
        <v>37</v>
      </c>
      <c r="R83" s="144">
        <v>1</v>
      </c>
      <c r="S83" s="148" t="s">
        <v>103</v>
      </c>
      <c r="T83" s="145">
        <f t="shared" ref="T83" si="21">(N83-V83)/R83</f>
        <v>58.000207136298734</v>
      </c>
      <c r="U83" s="145">
        <f t="shared" ref="U83" si="22">(O83-V83)/R83</f>
        <v>52.674786246752099</v>
      </c>
      <c r="V83" s="144"/>
      <c r="W83" s="144"/>
      <c r="X83" s="144"/>
      <c r="Y83" s="144"/>
      <c r="Z83" s="144"/>
      <c r="AA83" s="144"/>
      <c r="AB83" s="144"/>
      <c r="AC83" s="144" t="s">
        <v>39</v>
      </c>
      <c r="AD83" s="246"/>
    </row>
    <row r="84" spans="2:30">
      <c r="B84" s="28">
        <v>45537</v>
      </c>
      <c r="C84" s="29" t="s">
        <v>117</v>
      </c>
      <c r="D84" s="111" t="s">
        <v>146</v>
      </c>
      <c r="E84" s="29"/>
      <c r="F84" s="30"/>
      <c r="G84" s="29" t="s">
        <v>106</v>
      </c>
      <c r="H84" s="30">
        <f>130*402.5</f>
        <v>52325</v>
      </c>
      <c r="I84" s="29" t="s">
        <v>35</v>
      </c>
      <c r="J84" s="29" t="s">
        <v>117</v>
      </c>
      <c r="K84" s="30">
        <v>119.93</v>
      </c>
      <c r="L84" s="30">
        <f>0.90882*8.3454</f>
        <v>7.5844664279999998</v>
      </c>
      <c r="M84" s="31">
        <f>(H84/L84)</f>
        <v>6898.9691623960343</v>
      </c>
      <c r="N84" s="30">
        <f>(M84*(K84/100))</f>
        <v>8273.9337164615645</v>
      </c>
      <c r="O84" s="30">
        <f>H84/L84</f>
        <v>6898.9691623960343</v>
      </c>
      <c r="P84" s="29" t="s">
        <v>36</v>
      </c>
      <c r="Q84" s="29" t="s">
        <v>37</v>
      </c>
      <c r="R84" s="29">
        <f>211-81</f>
        <v>130</v>
      </c>
      <c r="S84" s="27" t="s">
        <v>103</v>
      </c>
      <c r="T84" s="30">
        <f t="shared" si="14"/>
        <v>63.645643972781265</v>
      </c>
      <c r="U84" s="30">
        <f t="shared" si="15"/>
        <v>53.068993556892572</v>
      </c>
      <c r="V84" s="29"/>
      <c r="W84" s="29"/>
      <c r="X84" s="29"/>
      <c r="Y84" s="29"/>
      <c r="Z84" s="29"/>
      <c r="AA84" s="29"/>
      <c r="AB84" s="29"/>
      <c r="AC84" s="34" t="s">
        <v>147</v>
      </c>
      <c r="AD84" s="33" t="s">
        <v>148</v>
      </c>
    </row>
    <row r="85" spans="2:30">
      <c r="B85" s="28">
        <v>45537</v>
      </c>
      <c r="C85" s="29" t="s">
        <v>117</v>
      </c>
      <c r="D85" s="111" t="s">
        <v>149</v>
      </c>
      <c r="E85" s="29"/>
      <c r="F85" s="30"/>
      <c r="G85" s="29" t="s">
        <v>106</v>
      </c>
      <c r="H85" s="30">
        <v>85355</v>
      </c>
      <c r="I85" s="29" t="s">
        <v>35</v>
      </c>
      <c r="J85" s="29" t="s">
        <v>117</v>
      </c>
      <c r="K85" s="30">
        <v>120.16</v>
      </c>
      <c r="L85" s="30">
        <f>0.908821*8.3454</f>
        <v>7.5844747733999993</v>
      </c>
      <c r="M85" s="31">
        <f t="shared" si="16"/>
        <v>11253.910461849517</v>
      </c>
      <c r="N85" s="30">
        <f t="shared" si="13"/>
        <v>13522.69881095838</v>
      </c>
      <c r="O85" s="30">
        <f t="shared" si="17"/>
        <v>11253.910461849517</v>
      </c>
      <c r="P85" s="29" t="s">
        <v>36</v>
      </c>
      <c r="Q85" s="29" t="s">
        <v>37</v>
      </c>
      <c r="R85" s="32">
        <v>212</v>
      </c>
      <c r="S85" s="27" t="s">
        <v>103</v>
      </c>
      <c r="T85" s="30">
        <f t="shared" si="14"/>
        <v>63.786315146030091</v>
      </c>
      <c r="U85" s="30">
        <f t="shared" si="15"/>
        <v>53.084483310610928</v>
      </c>
      <c r="V85" s="29"/>
      <c r="W85" s="29"/>
      <c r="X85" s="29"/>
      <c r="Y85" s="29"/>
      <c r="Z85" s="29"/>
      <c r="AA85" s="29"/>
      <c r="AB85" s="29"/>
      <c r="AC85" s="34" t="s">
        <v>147</v>
      </c>
      <c r="AD85" s="33" t="s">
        <v>148</v>
      </c>
    </row>
    <row r="86" spans="2:30">
      <c r="B86" s="14">
        <v>45537</v>
      </c>
      <c r="C86" s="15" t="s">
        <v>150</v>
      </c>
      <c r="D86" s="16" t="s">
        <v>151</v>
      </c>
      <c r="E86" s="16"/>
      <c r="F86" s="17"/>
      <c r="G86" s="16" t="s">
        <v>106</v>
      </c>
      <c r="H86" s="17">
        <v>51922.5</v>
      </c>
      <c r="I86" s="16" t="s">
        <v>35</v>
      </c>
      <c r="J86" s="15" t="s">
        <v>150</v>
      </c>
      <c r="K86" s="17">
        <v>119.8</v>
      </c>
      <c r="L86" s="17">
        <f>0.909227*8.3454</f>
        <v>7.5878630058000001</v>
      </c>
      <c r="M86" s="18">
        <f t="shared" si="16"/>
        <v>6842.8357180818302</v>
      </c>
      <c r="N86" s="17">
        <f t="shared" si="13"/>
        <v>8197.7171902620321</v>
      </c>
      <c r="O86" s="17">
        <f t="shared" si="17"/>
        <v>6842.8357180818302</v>
      </c>
      <c r="P86" s="16" t="s">
        <v>36</v>
      </c>
      <c r="Q86" s="16" t="s">
        <v>37</v>
      </c>
      <c r="R86" s="16">
        <v>129</v>
      </c>
      <c r="S86" s="13" t="s">
        <v>103</v>
      </c>
      <c r="T86" s="17">
        <f t="shared" si="14"/>
        <v>63.548195273349087</v>
      </c>
      <c r="U86" s="17">
        <f t="shared" si="15"/>
        <v>53.045238124665353</v>
      </c>
      <c r="V86" s="16"/>
      <c r="W86" s="16"/>
      <c r="X86" s="16"/>
      <c r="Y86" s="16"/>
      <c r="Z86" s="16"/>
      <c r="AA86" s="16"/>
      <c r="AB86" s="16"/>
      <c r="AC86" s="25" t="s">
        <v>147</v>
      </c>
      <c r="AD86" s="19" t="s">
        <v>148</v>
      </c>
    </row>
    <row r="87" spans="2:30">
      <c r="B87" s="14">
        <v>45538</v>
      </c>
      <c r="C87" s="15" t="s">
        <v>150</v>
      </c>
      <c r="D87" s="16" t="s">
        <v>152</v>
      </c>
      <c r="E87" s="16"/>
      <c r="F87" s="17"/>
      <c r="G87" s="16" t="s">
        <v>106</v>
      </c>
      <c r="H87" s="17">
        <f>402.5*79</f>
        <v>31797.5</v>
      </c>
      <c r="I87" s="16" t="s">
        <v>35</v>
      </c>
      <c r="J87" s="15" t="s">
        <v>150</v>
      </c>
      <c r="K87" s="17">
        <v>119.8</v>
      </c>
      <c r="L87" s="17">
        <f>0.909227*8.3454</f>
        <v>7.5878630058000001</v>
      </c>
      <c r="M87" s="18">
        <f t="shared" si="16"/>
        <v>4190.5738118485624</v>
      </c>
      <c r="N87" s="17">
        <f t="shared" si="13"/>
        <v>5020.3074265945779</v>
      </c>
      <c r="O87" s="17">
        <f t="shared" si="17"/>
        <v>4190.5738118485624</v>
      </c>
      <c r="P87" s="16" t="s">
        <v>36</v>
      </c>
      <c r="Q87" s="16" t="s">
        <v>37</v>
      </c>
      <c r="R87" s="23">
        <v>79</v>
      </c>
      <c r="S87" s="13" t="s">
        <v>103</v>
      </c>
      <c r="T87" s="17">
        <f t="shared" si="14"/>
        <v>63.548195273349087</v>
      </c>
      <c r="U87" s="17">
        <f t="shared" si="15"/>
        <v>53.045238124665346</v>
      </c>
      <c r="V87" s="16"/>
      <c r="W87" s="16"/>
      <c r="X87" s="16"/>
      <c r="Y87" s="16"/>
      <c r="Z87" s="16"/>
      <c r="AA87" s="16"/>
      <c r="AB87" s="16"/>
      <c r="AC87" s="25" t="s">
        <v>147</v>
      </c>
      <c r="AD87" s="19" t="s">
        <v>148</v>
      </c>
    </row>
    <row r="88" spans="2:30">
      <c r="B88" s="14">
        <v>45538</v>
      </c>
      <c r="C88" s="15" t="s">
        <v>150</v>
      </c>
      <c r="D88" s="111" t="s">
        <v>153</v>
      </c>
      <c r="E88" s="16"/>
      <c r="F88" s="17"/>
      <c r="G88" s="16" t="s">
        <v>106</v>
      </c>
      <c r="H88" s="17">
        <f>402.5*205</f>
        <v>82512.5</v>
      </c>
      <c r="I88" s="16" t="s">
        <v>35</v>
      </c>
      <c r="J88" s="15" t="s">
        <v>150</v>
      </c>
      <c r="K88" s="17">
        <v>119.96</v>
      </c>
      <c r="L88" s="17">
        <v>7.5860000000000003</v>
      </c>
      <c r="M88" s="18">
        <f t="shared" si="16"/>
        <v>10876.944371210124</v>
      </c>
      <c r="N88" s="17">
        <f t="shared" si="13"/>
        <v>13047.982467703665</v>
      </c>
      <c r="O88" s="17">
        <f t="shared" si="17"/>
        <v>10876.944371210124</v>
      </c>
      <c r="P88" s="16" t="s">
        <v>92</v>
      </c>
      <c r="Q88" s="16" t="s">
        <v>37</v>
      </c>
      <c r="R88" s="23">
        <v>205</v>
      </c>
      <c r="S88" s="13" t="s">
        <v>103</v>
      </c>
      <c r="T88" s="17">
        <f t="shared" si="14"/>
        <v>63.648694964408122</v>
      </c>
      <c r="U88" s="17">
        <f t="shared" si="15"/>
        <v>53.058265225415241</v>
      </c>
      <c r="V88" s="16"/>
      <c r="W88" s="16"/>
      <c r="X88" s="16"/>
      <c r="Y88" s="16"/>
      <c r="Z88" s="16"/>
      <c r="AA88" s="16"/>
      <c r="AB88" s="16"/>
      <c r="AC88" s="25" t="s">
        <v>147</v>
      </c>
      <c r="AD88" s="19" t="s">
        <v>148</v>
      </c>
    </row>
    <row r="89" spans="2:30">
      <c r="B89" s="14">
        <v>45538</v>
      </c>
      <c r="C89" s="15" t="s">
        <v>150</v>
      </c>
      <c r="D89" s="111" t="s">
        <v>154</v>
      </c>
      <c r="E89" s="16"/>
      <c r="F89" s="17"/>
      <c r="G89" s="16"/>
      <c r="H89" s="17">
        <f>87*402.5</f>
        <v>35017.5</v>
      </c>
      <c r="I89" s="16" t="s">
        <v>35</v>
      </c>
      <c r="J89" s="15" t="s">
        <v>150</v>
      </c>
      <c r="K89" s="17">
        <v>119.96</v>
      </c>
      <c r="L89" s="17">
        <v>7.5860000000000003</v>
      </c>
      <c r="M89" s="18">
        <f t="shared" ref="M89" si="23">(H89/L89)</f>
        <v>4616.0690746111259</v>
      </c>
      <c r="N89" s="17">
        <f t="shared" ref="N89" si="24">(M89*(K89/100))</f>
        <v>5537.4364619035068</v>
      </c>
      <c r="O89" s="17">
        <f t="shared" ref="O89" si="25">H89/L89</f>
        <v>4616.0690746111259</v>
      </c>
      <c r="P89" s="16" t="s">
        <v>92</v>
      </c>
      <c r="Q89" s="16" t="s">
        <v>37</v>
      </c>
      <c r="R89" s="16">
        <v>87</v>
      </c>
      <c r="S89" s="13" t="s">
        <v>103</v>
      </c>
      <c r="T89" s="17">
        <f t="shared" ref="T89" si="26">(N89-V89)/R89</f>
        <v>63.648694964408122</v>
      </c>
      <c r="U89" s="17">
        <f t="shared" ref="U89" si="27">(O89-V89)/R89</f>
        <v>53.058265225415241</v>
      </c>
      <c r="V89" s="16"/>
      <c r="W89" s="16"/>
      <c r="X89" s="16"/>
      <c r="Y89" s="16"/>
      <c r="Z89" s="16"/>
      <c r="AA89" s="16"/>
      <c r="AB89" s="16"/>
      <c r="AC89" s="25" t="s">
        <v>147</v>
      </c>
      <c r="AD89" s="19" t="s">
        <v>148</v>
      </c>
    </row>
    <row r="90" spans="2:30">
      <c r="B90" s="14">
        <v>45539</v>
      </c>
      <c r="C90" s="15" t="s">
        <v>155</v>
      </c>
      <c r="D90" s="111" t="s">
        <v>156</v>
      </c>
      <c r="E90" s="16"/>
      <c r="F90" s="17"/>
      <c r="G90" s="56" t="s">
        <v>106</v>
      </c>
      <c r="H90" s="54">
        <f>402.5*72</f>
        <v>28980</v>
      </c>
      <c r="I90" s="57" t="s">
        <v>157</v>
      </c>
      <c r="J90" s="15" t="s">
        <v>155</v>
      </c>
      <c r="K90" s="17">
        <v>119.99</v>
      </c>
      <c r="L90" s="54">
        <f>0.909006*8.3454</f>
        <v>7.5860186723999998</v>
      </c>
      <c r="M90" s="18">
        <f t="shared" si="16"/>
        <v>3820.1856931142452</v>
      </c>
      <c r="N90" s="17">
        <f t="shared" si="13"/>
        <v>4583.8408131677825</v>
      </c>
      <c r="O90" s="17">
        <f t="shared" si="17"/>
        <v>3820.1856931142452</v>
      </c>
      <c r="P90" s="16" t="s">
        <v>92</v>
      </c>
      <c r="Q90" s="16" t="s">
        <v>37</v>
      </c>
      <c r="R90" s="16">
        <v>72</v>
      </c>
      <c r="S90" s="13" t="s">
        <v>103</v>
      </c>
      <c r="T90" s="17">
        <f t="shared" si="14"/>
        <v>63.664455738441426</v>
      </c>
      <c r="U90" s="17">
        <f t="shared" si="15"/>
        <v>53.058134626586735</v>
      </c>
      <c r="V90" s="16"/>
      <c r="W90" s="16"/>
      <c r="X90" s="16"/>
      <c r="Y90" s="16"/>
      <c r="Z90" s="16"/>
      <c r="AA90" s="16"/>
      <c r="AB90" s="16"/>
      <c r="AC90" s="25" t="s">
        <v>147</v>
      </c>
      <c r="AD90" s="19" t="s">
        <v>148</v>
      </c>
    </row>
    <row r="91" spans="2:30">
      <c r="B91" s="14">
        <v>45539</v>
      </c>
      <c r="C91" s="15" t="s">
        <v>155</v>
      </c>
      <c r="D91" s="16" t="s">
        <v>156</v>
      </c>
      <c r="E91" s="16"/>
      <c r="F91" s="17"/>
      <c r="G91" s="56" t="s">
        <v>106</v>
      </c>
      <c r="H91" s="54">
        <f>144*402.5</f>
        <v>57960</v>
      </c>
      <c r="I91" s="57" t="s">
        <v>157</v>
      </c>
      <c r="J91" s="15" t="s">
        <v>155</v>
      </c>
      <c r="K91" s="17">
        <v>119.99</v>
      </c>
      <c r="L91" s="54">
        <f>0.909006*8.3454</f>
        <v>7.5860186723999998</v>
      </c>
      <c r="M91" s="18">
        <f t="shared" si="16"/>
        <v>7640.3713862284903</v>
      </c>
      <c r="N91" s="17">
        <f t="shared" si="13"/>
        <v>9167.6816263355649</v>
      </c>
      <c r="O91" s="17">
        <f t="shared" si="17"/>
        <v>7640.3713862284903</v>
      </c>
      <c r="P91" s="16" t="s">
        <v>92</v>
      </c>
      <c r="Q91" s="16" t="s">
        <v>37</v>
      </c>
      <c r="R91" s="53">
        <v>144</v>
      </c>
      <c r="S91" s="13" t="s">
        <v>103</v>
      </c>
      <c r="T91" s="17">
        <f t="shared" si="14"/>
        <v>63.664455738441426</v>
      </c>
      <c r="U91" s="17">
        <f t="shared" si="15"/>
        <v>53.058134626586735</v>
      </c>
      <c r="V91" s="16"/>
      <c r="W91" s="16"/>
      <c r="X91" s="16"/>
      <c r="Y91" s="16"/>
      <c r="Z91" s="16"/>
      <c r="AA91" s="16"/>
      <c r="AB91" s="16"/>
      <c r="AC91" s="16" t="s">
        <v>39</v>
      </c>
      <c r="AD91" s="19"/>
    </row>
    <row r="92" spans="2:30">
      <c r="B92" s="14">
        <v>45539</v>
      </c>
      <c r="C92" s="15" t="s">
        <v>155</v>
      </c>
      <c r="D92" s="16" t="s">
        <v>158</v>
      </c>
      <c r="E92" s="16"/>
      <c r="F92" s="17"/>
      <c r="G92" s="56" t="s">
        <v>106</v>
      </c>
      <c r="H92" s="54">
        <f>402.5*148</f>
        <v>59570</v>
      </c>
      <c r="I92" s="57" t="s">
        <v>157</v>
      </c>
      <c r="J92" s="15" t="s">
        <v>155</v>
      </c>
      <c r="K92" s="17">
        <v>120.28</v>
      </c>
      <c r="L92" s="55">
        <f>0.908685*8.3454</f>
        <v>7.5833397989999991</v>
      </c>
      <c r="M92" s="18">
        <f>(H92/L92)</f>
        <v>7855.3779177685519</v>
      </c>
      <c r="N92" s="17">
        <f>(M92*(K92/100))</f>
        <v>9448.4485594920152</v>
      </c>
      <c r="O92" s="17">
        <f>H92/L92</f>
        <v>7855.3779177685519</v>
      </c>
      <c r="P92" s="16" t="s">
        <v>92</v>
      </c>
      <c r="Q92" s="16" t="s">
        <v>37</v>
      </c>
      <c r="R92" s="23">
        <v>148</v>
      </c>
      <c r="S92" s="13" t="s">
        <v>103</v>
      </c>
      <c r="T92" s="17">
        <f t="shared" si="14"/>
        <v>63.840868645216318</v>
      </c>
      <c r="U92" s="17">
        <f t="shared" si="15"/>
        <v>53.076877822760487</v>
      </c>
      <c r="V92" s="16"/>
      <c r="W92" s="16"/>
      <c r="X92" s="16"/>
      <c r="Y92" s="16"/>
      <c r="Z92" s="16"/>
      <c r="AA92" s="16"/>
      <c r="AB92" s="16"/>
      <c r="AC92" s="16" t="s">
        <v>39</v>
      </c>
      <c r="AD92" s="19"/>
    </row>
    <row r="93" spans="2:30">
      <c r="B93" s="14">
        <v>45540</v>
      </c>
      <c r="C93" s="15" t="s">
        <v>155</v>
      </c>
      <c r="D93" s="16" t="s">
        <v>159</v>
      </c>
      <c r="E93" s="16"/>
      <c r="F93" s="17"/>
      <c r="G93" s="56"/>
      <c r="H93" s="106">
        <f>402.5*135</f>
        <v>54337.5</v>
      </c>
      <c r="I93" s="57" t="s">
        <v>157</v>
      </c>
      <c r="J93" s="15" t="s">
        <v>155</v>
      </c>
      <c r="K93" s="17">
        <v>120.28</v>
      </c>
      <c r="L93" s="55">
        <f>0.908685*8.3454</f>
        <v>7.5833397989999991</v>
      </c>
      <c r="M93" s="18">
        <f>(H93/L93)</f>
        <v>7165.378506072665</v>
      </c>
      <c r="N93" s="17">
        <f>(M93*(K93/100))</f>
        <v>8618.5172671042019</v>
      </c>
      <c r="O93" s="17">
        <f>H93/L93</f>
        <v>7165.378506072665</v>
      </c>
      <c r="P93" s="16" t="s">
        <v>36</v>
      </c>
      <c r="Q93" s="16" t="s">
        <v>37</v>
      </c>
      <c r="R93" s="23">
        <v>135</v>
      </c>
      <c r="S93" s="13" t="s">
        <v>103</v>
      </c>
      <c r="T93" s="17">
        <f>(N93-V93)/R93</f>
        <v>63.840868645216311</v>
      </c>
      <c r="U93" s="17">
        <f>(O93-V93)/R93</f>
        <v>53.07687782276048</v>
      </c>
      <c r="V93" s="16"/>
      <c r="W93" s="16"/>
      <c r="X93" s="16"/>
      <c r="Y93" s="16"/>
      <c r="Z93" s="16"/>
      <c r="AA93" s="16"/>
      <c r="AB93" s="16"/>
      <c r="AC93" s="16" t="s">
        <v>39</v>
      </c>
      <c r="AD93" s="19"/>
    </row>
    <row r="94" spans="2:30">
      <c r="B94" s="14">
        <v>45540</v>
      </c>
      <c r="C94" s="15" t="s">
        <v>155</v>
      </c>
      <c r="D94" s="16" t="s">
        <v>160</v>
      </c>
      <c r="E94" s="16"/>
      <c r="F94" s="17"/>
      <c r="G94" s="56"/>
      <c r="H94" s="54">
        <v>402.5</v>
      </c>
      <c r="I94" s="57" t="s">
        <v>157</v>
      </c>
      <c r="J94" s="15" t="s">
        <v>155</v>
      </c>
      <c r="K94" s="17">
        <v>120.28</v>
      </c>
      <c r="L94" s="17">
        <f>0.908685*8.3454</f>
        <v>7.5833397989999991</v>
      </c>
      <c r="M94" s="18">
        <f>(H94/L94)</f>
        <v>53.076877822760487</v>
      </c>
      <c r="N94" s="17">
        <f>(M94*(K94/100))</f>
        <v>63.840868645216318</v>
      </c>
      <c r="O94" s="17">
        <f>H94/L94</f>
        <v>53.076877822760487</v>
      </c>
      <c r="P94" s="16" t="s">
        <v>36</v>
      </c>
      <c r="Q94" s="16" t="s">
        <v>37</v>
      </c>
      <c r="R94" s="23">
        <v>1</v>
      </c>
      <c r="S94" s="13" t="s">
        <v>103</v>
      </c>
      <c r="T94" s="17">
        <f>(N94-V94)/R94</f>
        <v>63.840868645216318</v>
      </c>
      <c r="U94" s="17">
        <f>(O94-V94)/R94</f>
        <v>53.076877822760487</v>
      </c>
      <c r="V94" s="16"/>
      <c r="W94" s="16"/>
      <c r="X94" s="16"/>
      <c r="Y94" s="16"/>
      <c r="Z94" s="16"/>
      <c r="AA94" s="16"/>
      <c r="AB94" s="16"/>
      <c r="AC94" s="16" t="s">
        <v>39</v>
      </c>
      <c r="AD94" s="19"/>
    </row>
    <row r="95" spans="2:30">
      <c r="B95" s="14">
        <v>45539</v>
      </c>
      <c r="C95" s="15" t="s">
        <v>161</v>
      </c>
      <c r="D95" s="16" t="s">
        <v>162</v>
      </c>
      <c r="E95" s="16"/>
      <c r="F95" s="17"/>
      <c r="G95" s="16" t="s">
        <v>106</v>
      </c>
      <c r="H95" s="23">
        <f>(53915*0.1)+53915</f>
        <v>59306.5</v>
      </c>
      <c r="I95" s="16" t="s">
        <v>157</v>
      </c>
      <c r="J95" s="15" t="s">
        <v>161</v>
      </c>
      <c r="K95" s="17">
        <v>110.22</v>
      </c>
      <c r="L95" s="17">
        <f>0.919614*8.3454</f>
        <v>7.6745466756000003</v>
      </c>
      <c r="M95" s="18">
        <f t="shared" si="16"/>
        <v>7727.6877067613095</v>
      </c>
      <c r="N95" s="17">
        <f t="shared" si="13"/>
        <v>8517.4573903923156</v>
      </c>
      <c r="O95" s="17">
        <f t="shared" si="17"/>
        <v>7727.6877067613095</v>
      </c>
      <c r="P95" s="16" t="s">
        <v>92</v>
      </c>
      <c r="Q95" s="16" t="s">
        <v>37</v>
      </c>
      <c r="R95" s="53">
        <v>144</v>
      </c>
      <c r="S95" s="13" t="s">
        <v>103</v>
      </c>
      <c r="T95" s="17">
        <f t="shared" si="14"/>
        <v>59.149009655502191</v>
      </c>
      <c r="U95" s="17">
        <f t="shared" si="15"/>
        <v>53.664497963620207</v>
      </c>
      <c r="V95" s="16"/>
      <c r="W95" s="16"/>
      <c r="X95" s="16"/>
      <c r="Y95" s="16"/>
      <c r="Z95" s="16"/>
      <c r="AA95" s="16"/>
      <c r="AB95" s="16"/>
      <c r="AC95" s="16" t="s">
        <v>39</v>
      </c>
      <c r="AD95" s="24">
        <f>(SUM(N95))/((2*3*24080)/56)</f>
        <v>3.3013400737954712</v>
      </c>
    </row>
    <row r="96" spans="2:30">
      <c r="B96" s="14">
        <v>45540</v>
      </c>
      <c r="C96" s="15" t="s">
        <v>163</v>
      </c>
      <c r="D96" s="16" t="s">
        <v>164</v>
      </c>
      <c r="E96" s="16"/>
      <c r="F96" s="17"/>
      <c r="G96" s="16" t="s">
        <v>106</v>
      </c>
      <c r="H96" s="23">
        <f>(78935*0.1)+78935</f>
        <v>86828.5</v>
      </c>
      <c r="I96" s="16" t="s">
        <v>157</v>
      </c>
      <c r="J96" s="15" t="s">
        <v>163</v>
      </c>
      <c r="K96" s="17">
        <v>119.92</v>
      </c>
      <c r="L96" s="17">
        <f>0.909094*8.3454</f>
        <v>7.5867530675999992</v>
      </c>
      <c r="M96" s="18">
        <f t="shared" si="16"/>
        <v>11444.751032007347</v>
      </c>
      <c r="N96" s="17">
        <f t="shared" si="13"/>
        <v>13724.545437583211</v>
      </c>
      <c r="O96" s="17">
        <f t="shared" si="17"/>
        <v>11444.751032007347</v>
      </c>
      <c r="P96" s="16" t="s">
        <v>36</v>
      </c>
      <c r="Q96" s="16" t="s">
        <v>37</v>
      </c>
      <c r="R96" s="23">
        <v>217</v>
      </c>
      <c r="S96" s="13" t="s">
        <v>103</v>
      </c>
      <c r="T96" s="17">
        <f t="shared" si="14"/>
        <v>63.246753168586224</v>
      </c>
      <c r="U96" s="17">
        <f t="shared" si="15"/>
        <v>52.740788165932472</v>
      </c>
      <c r="V96" s="16"/>
      <c r="W96" s="16"/>
      <c r="X96" s="16"/>
      <c r="Y96" s="16"/>
      <c r="Z96" s="16"/>
      <c r="AA96" s="16"/>
      <c r="AB96" s="16"/>
      <c r="AC96" s="16" t="s">
        <v>39</v>
      </c>
      <c r="AD96" s="19"/>
    </row>
    <row r="97" spans="2:30">
      <c r="B97" s="14">
        <v>45541</v>
      </c>
      <c r="C97" s="15" t="s">
        <v>163</v>
      </c>
      <c r="D97" s="16" t="s">
        <v>165</v>
      </c>
      <c r="E97" s="16"/>
      <c r="F97" s="17"/>
      <c r="G97" s="16" t="s">
        <v>106</v>
      </c>
      <c r="H97" s="23">
        <f>(51660*0.1)+51660</f>
        <v>56826</v>
      </c>
      <c r="I97" s="16" t="s">
        <v>157</v>
      </c>
      <c r="J97" s="15" t="s">
        <v>163</v>
      </c>
      <c r="K97" s="17">
        <v>120.24</v>
      </c>
      <c r="L97" s="17">
        <f>0.908731*8.3454</f>
        <v>7.5837236873999991</v>
      </c>
      <c r="M97" s="18">
        <f t="shared" si="16"/>
        <v>7493.1527495409318</v>
      </c>
      <c r="N97" s="17">
        <f t="shared" si="13"/>
        <v>9009.7668660480158</v>
      </c>
      <c r="O97" s="17">
        <f t="shared" si="17"/>
        <v>7493.1527495409318</v>
      </c>
      <c r="P97" s="16" t="s">
        <v>36</v>
      </c>
      <c r="Q97" s="16" t="s">
        <v>37</v>
      </c>
      <c r="R97" s="23">
        <v>142</v>
      </c>
      <c r="S97" s="13" t="s">
        <v>103</v>
      </c>
      <c r="T97" s="17">
        <f t="shared" si="14"/>
        <v>63.44906243695786</v>
      </c>
      <c r="U97" s="17">
        <f t="shared" si="15"/>
        <v>52.768681334795296</v>
      </c>
      <c r="V97" s="16"/>
      <c r="W97" s="16"/>
      <c r="X97" s="16"/>
      <c r="Y97" s="16"/>
      <c r="Z97" s="16"/>
      <c r="AA97" s="16"/>
      <c r="AB97" s="16"/>
      <c r="AC97" s="16" t="s">
        <v>39</v>
      </c>
      <c r="AD97" s="19"/>
    </row>
    <row r="98" spans="2:30">
      <c r="B98" s="14">
        <v>45544</v>
      </c>
      <c r="C98" s="15" t="s">
        <v>163</v>
      </c>
      <c r="D98" s="16" t="s">
        <v>166</v>
      </c>
      <c r="E98" s="16"/>
      <c r="F98" s="17"/>
      <c r="G98" s="16" t="s">
        <v>106</v>
      </c>
      <c r="H98" s="23">
        <f>(33520*0.1)+33520</f>
        <v>36872</v>
      </c>
      <c r="I98" s="16" t="s">
        <v>157</v>
      </c>
      <c r="J98" s="16" t="s">
        <v>163</v>
      </c>
      <c r="K98" s="17">
        <v>120.14</v>
      </c>
      <c r="L98" s="17">
        <f>0.908877*8.3454</f>
        <v>7.5849421158000006</v>
      </c>
      <c r="M98" s="18">
        <f t="shared" si="16"/>
        <v>4861.2104663518621</v>
      </c>
      <c r="N98" s="17">
        <f t="shared" si="13"/>
        <v>5840.258254275127</v>
      </c>
      <c r="O98" s="17">
        <f t="shared" si="17"/>
        <v>4861.2104663518621</v>
      </c>
      <c r="P98" s="16" t="s">
        <v>36</v>
      </c>
      <c r="Q98" s="16" t="s">
        <v>37</v>
      </c>
      <c r="R98" s="23">
        <v>91</v>
      </c>
      <c r="S98" s="13" t="s">
        <v>103</v>
      </c>
      <c r="T98" s="17">
        <f t="shared" si="14"/>
        <v>64.178662134891511</v>
      </c>
      <c r="U98" s="17">
        <f t="shared" si="15"/>
        <v>53.419895234635845</v>
      </c>
      <c r="V98" s="16"/>
      <c r="W98" s="16"/>
      <c r="X98" s="16"/>
      <c r="Y98" s="16"/>
      <c r="Z98" s="16"/>
      <c r="AA98" s="16"/>
      <c r="AB98" s="16"/>
      <c r="AC98" s="16" t="s">
        <v>39</v>
      </c>
      <c r="AD98" s="19"/>
    </row>
    <row r="99" spans="2:30">
      <c r="B99" s="14">
        <v>45544</v>
      </c>
      <c r="C99" s="15" t="s">
        <v>167</v>
      </c>
      <c r="D99" s="16" t="s">
        <v>168</v>
      </c>
      <c r="E99" s="16"/>
      <c r="F99" s="17"/>
      <c r="G99" s="16" t="s">
        <v>106</v>
      </c>
      <c r="H99" s="23">
        <f>402.5*210</f>
        <v>84525</v>
      </c>
      <c r="I99" s="16" t="s">
        <v>35</v>
      </c>
      <c r="J99" s="16" t="s">
        <v>167</v>
      </c>
      <c r="K99" s="17">
        <v>120.11</v>
      </c>
      <c r="L99" s="17">
        <f>0.908873*8.3454</f>
        <v>7.5849087341999999</v>
      </c>
      <c r="M99" s="18">
        <f t="shared" si="16"/>
        <v>11143.838767483216</v>
      </c>
      <c r="N99" s="17">
        <f t="shared" ref="N99:N107" si="28">(M99*(K99/100))</f>
        <v>13384.864743624092</v>
      </c>
      <c r="O99" s="17">
        <f t="shared" si="17"/>
        <v>11143.838767483216</v>
      </c>
      <c r="P99" s="16" t="s">
        <v>36</v>
      </c>
      <c r="Q99" s="16" t="s">
        <v>37</v>
      </c>
      <c r="R99" s="23">
        <v>210</v>
      </c>
      <c r="S99" s="13" t="s">
        <v>103</v>
      </c>
      <c r="T99" s="17">
        <f t="shared" ref="T99:T107" si="29">(N99-V99)/R99</f>
        <v>63.737451160114723</v>
      </c>
      <c r="U99" s="17">
        <f t="shared" ref="U99:U107" si="30">(O99-V99)/R99</f>
        <v>53.06589889277722</v>
      </c>
      <c r="V99" s="16"/>
      <c r="W99" s="16"/>
      <c r="X99" s="16"/>
      <c r="Y99" s="16"/>
      <c r="Z99" s="16"/>
      <c r="AA99" s="16"/>
      <c r="AB99" s="16"/>
      <c r="AC99" s="16" t="s">
        <v>39</v>
      </c>
      <c r="AD99" s="19"/>
    </row>
    <row r="100" spans="2:30">
      <c r="B100" s="14">
        <v>45544</v>
      </c>
      <c r="C100" s="15" t="s">
        <v>167</v>
      </c>
      <c r="D100" s="16" t="s">
        <v>169</v>
      </c>
      <c r="E100" s="16"/>
      <c r="F100" s="17"/>
      <c r="G100" s="16" t="s">
        <v>106</v>
      </c>
      <c r="H100" s="23">
        <f>402.5*217</f>
        <v>87342.5</v>
      </c>
      <c r="I100" s="16" t="s">
        <v>35</v>
      </c>
      <c r="J100" s="16" t="s">
        <v>167</v>
      </c>
      <c r="K100" s="17">
        <v>120.25</v>
      </c>
      <c r="L100" s="17">
        <f>0.90872*8.3454</f>
        <v>7.5836318879999993</v>
      </c>
      <c r="M100" s="18">
        <f t="shared" si="16"/>
        <v>11517.238875769652</v>
      </c>
      <c r="N100" s="17">
        <f t="shared" si="28"/>
        <v>13849.479748113004</v>
      </c>
      <c r="O100" s="17">
        <f t="shared" si="17"/>
        <v>11517.238875769652</v>
      </c>
      <c r="P100" s="16" t="s">
        <v>36</v>
      </c>
      <c r="Q100" s="16" t="s">
        <v>37</v>
      </c>
      <c r="R100" s="23">
        <v>217</v>
      </c>
      <c r="S100" s="13" t="s">
        <v>103</v>
      </c>
      <c r="T100" s="17">
        <f t="shared" si="29"/>
        <v>63.82248731849311</v>
      </c>
      <c r="U100" s="17">
        <f t="shared" si="30"/>
        <v>53.074833528892405</v>
      </c>
      <c r="V100" s="16"/>
      <c r="W100" s="16"/>
      <c r="X100" s="16"/>
      <c r="Y100" s="16"/>
      <c r="Z100" s="16"/>
      <c r="AA100" s="16"/>
      <c r="AB100" s="16"/>
      <c r="AC100" s="16" t="s">
        <v>39</v>
      </c>
      <c r="AD100" s="19"/>
    </row>
    <row r="101" spans="2:30">
      <c r="B101" s="14">
        <v>45545</v>
      </c>
      <c r="C101" s="15" t="s">
        <v>167</v>
      </c>
      <c r="D101" s="16" t="s">
        <v>170</v>
      </c>
      <c r="E101" s="16"/>
      <c r="F101" s="17"/>
      <c r="G101" s="16" t="s">
        <v>106</v>
      </c>
      <c r="H101" s="23">
        <f>(77435*0.1)+77435</f>
        <v>85178.5</v>
      </c>
      <c r="I101" s="16" t="s">
        <v>35</v>
      </c>
      <c r="J101" s="16" t="s">
        <v>167</v>
      </c>
      <c r="K101" s="17">
        <v>120.1</v>
      </c>
      <c r="L101" s="17">
        <f>0.908883*8.3454</f>
        <v>7.5849921881999993</v>
      </c>
      <c r="M101" s="18">
        <f t="shared" si="16"/>
        <v>11229.873134544887</v>
      </c>
      <c r="N101" s="17">
        <f t="shared" si="28"/>
        <v>13487.077634588408</v>
      </c>
      <c r="O101" s="17">
        <f t="shared" si="17"/>
        <v>11229.873134544887</v>
      </c>
      <c r="P101" s="16" t="s">
        <v>36</v>
      </c>
      <c r="Q101" s="16" t="s">
        <v>37</v>
      </c>
      <c r="R101" s="23">
        <v>212</v>
      </c>
      <c r="S101" s="13" t="s">
        <v>103</v>
      </c>
      <c r="T101" s="17">
        <f t="shared" si="29"/>
        <v>63.618290729190605</v>
      </c>
      <c r="U101" s="17">
        <f t="shared" si="30"/>
        <v>52.971099691249464</v>
      </c>
      <c r="V101" s="16"/>
      <c r="W101" s="16"/>
      <c r="X101" s="16"/>
      <c r="Y101" s="16"/>
      <c r="Z101" s="16"/>
      <c r="AA101" s="16"/>
      <c r="AB101" s="16"/>
      <c r="AC101" s="16" t="s">
        <v>39</v>
      </c>
      <c r="AD101" s="19"/>
    </row>
    <row r="102" spans="2:30">
      <c r="B102" s="14">
        <v>45545</v>
      </c>
      <c r="C102" s="15" t="s">
        <v>167</v>
      </c>
      <c r="D102" s="16" t="s">
        <v>171</v>
      </c>
      <c r="E102" s="16"/>
      <c r="F102" s="17"/>
      <c r="G102" s="16"/>
      <c r="H102" s="23">
        <f>402.5*214</f>
        <v>86135</v>
      </c>
      <c r="I102" s="16" t="s">
        <v>35</v>
      </c>
      <c r="J102" s="16" t="s">
        <v>167</v>
      </c>
      <c r="K102" s="17">
        <v>120.14</v>
      </c>
      <c r="L102" s="17">
        <f>0.90884*8.3454</f>
        <v>7.5846333359999996</v>
      </c>
      <c r="M102" s="18">
        <f>(H102/L102)</f>
        <v>11356.514703376031</v>
      </c>
      <c r="N102" s="17">
        <f>(M102*(K102/100))</f>
        <v>13643.716764635965</v>
      </c>
      <c r="O102" s="17">
        <f>H102/L102</f>
        <v>11356.514703376031</v>
      </c>
      <c r="P102" s="16" t="s">
        <v>36</v>
      </c>
      <c r="Q102" s="16" t="s">
        <v>37</v>
      </c>
      <c r="R102" s="23">
        <v>214</v>
      </c>
      <c r="S102" s="13" t="s">
        <v>103</v>
      </c>
      <c r="T102" s="17">
        <f>(N102-V102)/R102</f>
        <v>63.755685816055909</v>
      </c>
      <c r="U102" s="17">
        <f>(O102-V102)/R102</f>
        <v>53.067825716710423</v>
      </c>
      <c r="V102" s="16"/>
      <c r="W102" s="16"/>
      <c r="X102" s="16"/>
      <c r="Y102" s="16"/>
      <c r="Z102" s="16"/>
      <c r="AA102" s="16"/>
      <c r="AB102" s="16"/>
      <c r="AC102" s="16" t="s">
        <v>39</v>
      </c>
      <c r="AD102" s="19"/>
    </row>
    <row r="103" spans="2:30">
      <c r="B103" s="14">
        <v>45545</v>
      </c>
      <c r="C103" s="15" t="s">
        <v>167</v>
      </c>
      <c r="D103" s="16" t="s">
        <v>172</v>
      </c>
      <c r="E103" s="16"/>
      <c r="F103" s="17"/>
      <c r="G103" s="16"/>
      <c r="H103" s="23">
        <f>402.5*197</f>
        <v>79292.5</v>
      </c>
      <c r="I103" s="16" t="s">
        <v>35</v>
      </c>
      <c r="J103" s="16" t="s">
        <v>167</v>
      </c>
      <c r="K103" s="17">
        <v>120.21</v>
      </c>
      <c r="L103" s="17">
        <f>0.908761*8.3454</f>
        <v>7.5839740494000001</v>
      </c>
      <c r="M103" s="18">
        <f>(H103/L103)</f>
        <v>10455.270480029289</v>
      </c>
      <c r="N103" s="17">
        <f>(M103*(K103/100))</f>
        <v>12568.280644043207</v>
      </c>
      <c r="O103" s="17">
        <f>H103/L103</f>
        <v>10455.270480029289</v>
      </c>
      <c r="P103" s="16" t="s">
        <v>36</v>
      </c>
      <c r="Q103" s="16" t="s">
        <v>37</v>
      </c>
      <c r="R103" s="23">
        <v>197</v>
      </c>
      <c r="S103" s="13" t="s">
        <v>103</v>
      </c>
      <c r="T103" s="17">
        <f>(N103-V103)/R103</f>
        <v>63.798378903772623</v>
      </c>
      <c r="U103" s="17">
        <f>(O103-V103)/R103</f>
        <v>53.072438984920247</v>
      </c>
      <c r="V103" s="16"/>
      <c r="W103" s="16"/>
      <c r="X103" s="16"/>
      <c r="Y103" s="16"/>
      <c r="Z103" s="16"/>
      <c r="AA103" s="16"/>
      <c r="AB103" s="16"/>
      <c r="AC103" s="16" t="s">
        <v>39</v>
      </c>
      <c r="AD103" s="19"/>
    </row>
    <row r="104" spans="2:30">
      <c r="B104" s="14">
        <v>45546</v>
      </c>
      <c r="C104" s="15" t="s">
        <v>173</v>
      </c>
      <c r="D104" s="16" t="s">
        <v>174</v>
      </c>
      <c r="E104" s="16"/>
      <c r="F104" s="17"/>
      <c r="G104" s="16" t="s">
        <v>106</v>
      </c>
      <c r="H104" s="23">
        <f>402.5*218</f>
        <v>87745</v>
      </c>
      <c r="I104" s="16" t="s">
        <v>35</v>
      </c>
      <c r="J104" s="15" t="s">
        <v>173</v>
      </c>
      <c r="K104" s="16">
        <v>119.97</v>
      </c>
      <c r="L104" s="17">
        <f>0.909036*8.3454</f>
        <v>7.586269034399999</v>
      </c>
      <c r="M104" s="18">
        <f t="shared" si="16"/>
        <v>11566.291625319322</v>
      </c>
      <c r="N104" s="17">
        <f t="shared" si="28"/>
        <v>13876.080062895589</v>
      </c>
      <c r="O104" s="17">
        <f t="shared" si="17"/>
        <v>11566.291625319322</v>
      </c>
      <c r="P104" s="16" t="s">
        <v>36</v>
      </c>
      <c r="Q104" s="16" t="s">
        <v>37</v>
      </c>
      <c r="R104" s="23">
        <v>218</v>
      </c>
      <c r="S104" s="13" t="s">
        <v>103</v>
      </c>
      <c r="T104" s="17">
        <f t="shared" si="29"/>
        <v>63.651743407777936</v>
      </c>
      <c r="U104" s="17">
        <f t="shared" si="30"/>
        <v>53.056383602382212</v>
      </c>
      <c r="V104" s="16"/>
      <c r="W104" s="16"/>
      <c r="X104" s="16"/>
      <c r="Y104" s="16"/>
      <c r="Z104" s="16"/>
      <c r="AA104" s="16"/>
      <c r="AB104" s="16"/>
      <c r="AC104" s="16" t="s">
        <v>39</v>
      </c>
      <c r="AD104" s="19"/>
    </row>
    <row r="105" spans="2:30">
      <c r="B105" s="14">
        <v>45547</v>
      </c>
      <c r="C105" s="15" t="s">
        <v>173</v>
      </c>
      <c r="D105" s="16" t="s">
        <v>175</v>
      </c>
      <c r="E105" s="16"/>
      <c r="F105" s="17"/>
      <c r="G105" s="16" t="s">
        <v>106</v>
      </c>
      <c r="H105" s="23">
        <f>(78145*0.1)+78145</f>
        <v>85959.5</v>
      </c>
      <c r="I105" s="16" t="s">
        <v>35</v>
      </c>
      <c r="J105" s="15" t="s">
        <v>173</v>
      </c>
      <c r="K105" s="17">
        <v>120</v>
      </c>
      <c r="L105" s="17">
        <f>8.3454*0.908996</f>
        <v>7.5859352183999995</v>
      </c>
      <c r="M105" s="18">
        <f t="shared" si="16"/>
        <v>11331.430802559673</v>
      </c>
      <c r="N105" s="17">
        <f t="shared" si="28"/>
        <v>13597.716963071607</v>
      </c>
      <c r="O105" s="17">
        <f t="shared" si="17"/>
        <v>11331.430802559673</v>
      </c>
      <c r="P105" s="16" t="s">
        <v>36</v>
      </c>
      <c r="Q105" s="16" t="s">
        <v>37</v>
      </c>
      <c r="R105" s="23">
        <v>214</v>
      </c>
      <c r="S105" s="13" t="s">
        <v>103</v>
      </c>
      <c r="T105" s="17">
        <f t="shared" si="29"/>
        <v>63.540733472297227</v>
      </c>
      <c r="U105" s="17">
        <f t="shared" si="30"/>
        <v>52.950611226914361</v>
      </c>
      <c r="V105" s="16"/>
      <c r="W105" s="16"/>
      <c r="X105" s="16"/>
      <c r="Y105" s="16"/>
      <c r="Z105" s="16"/>
      <c r="AA105" s="16"/>
      <c r="AB105" s="16"/>
      <c r="AC105" s="16" t="s">
        <v>39</v>
      </c>
      <c r="AD105" s="19"/>
    </row>
    <row r="106" spans="2:30">
      <c r="B106" s="14">
        <v>45548</v>
      </c>
      <c r="C106" s="15" t="s">
        <v>173</v>
      </c>
      <c r="D106" s="16" t="s">
        <v>176</v>
      </c>
      <c r="E106" s="16"/>
      <c r="F106" s="17"/>
      <c r="G106" s="16" t="s">
        <v>106</v>
      </c>
      <c r="H106" s="23">
        <f>(44070*0.1)+44070</f>
        <v>48477</v>
      </c>
      <c r="I106" s="16" t="s">
        <v>35</v>
      </c>
      <c r="J106" s="15" t="s">
        <v>173</v>
      </c>
      <c r="K106" s="17">
        <v>119.89</v>
      </c>
      <c r="L106" s="17">
        <f>0.909127*8.3454</f>
        <v>7.5870284657999996</v>
      </c>
      <c r="M106" s="18">
        <f t="shared" si="16"/>
        <v>6389.4580359780466</v>
      </c>
      <c r="N106" s="17">
        <f t="shared" si="28"/>
        <v>7660.3212393340809</v>
      </c>
      <c r="O106" s="17">
        <f t="shared" si="17"/>
        <v>6389.4580359780466</v>
      </c>
      <c r="P106" s="16" t="s">
        <v>36</v>
      </c>
      <c r="Q106" s="16" t="s">
        <v>37</v>
      </c>
      <c r="R106" s="23">
        <v>121</v>
      </c>
      <c r="S106" s="13" t="s">
        <v>103</v>
      </c>
      <c r="T106" s="17">
        <f t="shared" si="29"/>
        <v>63.308439994496538</v>
      </c>
      <c r="U106" s="17">
        <f t="shared" si="30"/>
        <v>52.805438313868152</v>
      </c>
      <c r="V106" s="16"/>
      <c r="W106" s="16"/>
      <c r="X106" s="16"/>
      <c r="Y106" s="16"/>
      <c r="Z106" s="16"/>
      <c r="AA106" s="16"/>
      <c r="AB106" s="16"/>
      <c r="AC106" s="16" t="s">
        <v>39</v>
      </c>
      <c r="AD106" s="19"/>
    </row>
    <row r="107" spans="2:30">
      <c r="B107" s="14">
        <v>45548</v>
      </c>
      <c r="C107" s="15" t="s">
        <v>173</v>
      </c>
      <c r="D107" s="16" t="s">
        <v>177</v>
      </c>
      <c r="E107" s="16"/>
      <c r="F107" s="17"/>
      <c r="G107" s="16" t="s">
        <v>106</v>
      </c>
      <c r="H107" s="16">
        <f>402.5*115</f>
        <v>46287.5</v>
      </c>
      <c r="I107" s="16" t="s">
        <v>35</v>
      </c>
      <c r="J107" s="15" t="s">
        <v>173</v>
      </c>
      <c r="K107" s="17">
        <v>120.05</v>
      </c>
      <c r="L107" s="17">
        <f>0.908949*8.3454</f>
        <v>7.5855429846</v>
      </c>
      <c r="M107" s="18">
        <f t="shared" si="16"/>
        <v>6102.068117466587</v>
      </c>
      <c r="N107" s="17">
        <f t="shared" si="28"/>
        <v>7325.532775018637</v>
      </c>
      <c r="O107" s="17">
        <f t="shared" si="17"/>
        <v>6102.068117466587</v>
      </c>
      <c r="P107" s="16" t="s">
        <v>36</v>
      </c>
      <c r="Q107" s="16" t="s">
        <v>37</v>
      </c>
      <c r="R107" s="23">
        <v>115</v>
      </c>
      <c r="S107" s="13" t="s">
        <v>103</v>
      </c>
      <c r="T107" s="17">
        <f t="shared" si="29"/>
        <v>63.700285000162062</v>
      </c>
      <c r="U107" s="17">
        <f t="shared" si="30"/>
        <v>53.061461891013799</v>
      </c>
      <c r="V107" s="16"/>
      <c r="W107" s="16"/>
      <c r="X107" s="16"/>
      <c r="Y107" s="16"/>
      <c r="Z107" s="16"/>
      <c r="AA107" s="16"/>
      <c r="AB107" s="16"/>
      <c r="AC107" s="16" t="s">
        <v>39</v>
      </c>
      <c r="AD107" s="19"/>
    </row>
    <row r="108" spans="2:30">
      <c r="B108" s="14">
        <v>45548</v>
      </c>
      <c r="C108" s="15" t="s">
        <v>173</v>
      </c>
      <c r="D108" s="16" t="s">
        <v>178</v>
      </c>
      <c r="E108" s="16"/>
      <c r="F108" s="17"/>
      <c r="G108" s="16"/>
      <c r="H108" s="16">
        <f>402.5*220</f>
        <v>88550</v>
      </c>
      <c r="I108" s="16" t="s">
        <v>35</v>
      </c>
      <c r="J108" s="15" t="s">
        <v>173</v>
      </c>
      <c r="K108" s="17">
        <v>120.05</v>
      </c>
      <c r="L108" s="17">
        <f>0.908949*8.3454</f>
        <v>7.5855429846</v>
      </c>
      <c r="M108" s="18">
        <f>(H108/L108)</f>
        <v>11673.521616023037</v>
      </c>
      <c r="N108" s="17">
        <f>(M108*(K108/100))</f>
        <v>14014.062700035656</v>
      </c>
      <c r="O108" s="17">
        <f>H108/L108</f>
        <v>11673.521616023037</v>
      </c>
      <c r="P108" s="16" t="s">
        <v>92</v>
      </c>
      <c r="Q108" s="16" t="s">
        <v>37</v>
      </c>
      <c r="R108" s="23">
        <v>220</v>
      </c>
      <c r="S108" s="13" t="s">
        <v>103</v>
      </c>
      <c r="T108" s="17">
        <f>(N108-V108)/R108</f>
        <v>63.700285000162076</v>
      </c>
      <c r="U108" s="17">
        <f>(O108-V108)/R108</f>
        <v>53.061461891013806</v>
      </c>
      <c r="V108" s="16"/>
      <c r="W108" s="16"/>
      <c r="X108" s="16"/>
      <c r="Y108" s="16"/>
      <c r="Z108" s="16"/>
      <c r="AA108" s="16"/>
      <c r="AB108" s="16"/>
      <c r="AC108" s="16" t="s">
        <v>39</v>
      </c>
      <c r="AD108" s="19"/>
    </row>
    <row r="109" spans="2:30">
      <c r="B109" s="14">
        <v>45551</v>
      </c>
      <c r="C109" s="15" t="s">
        <v>173</v>
      </c>
      <c r="D109" s="16" t="s">
        <v>179</v>
      </c>
      <c r="E109" s="16"/>
      <c r="F109" s="17"/>
      <c r="G109" s="16"/>
      <c r="H109" s="16">
        <f>402.5*162</f>
        <v>65205</v>
      </c>
      <c r="I109" s="16" t="s">
        <v>35</v>
      </c>
      <c r="J109" s="15" t="s">
        <v>173</v>
      </c>
      <c r="K109" s="17">
        <v>119.78</v>
      </c>
      <c r="L109" s="17">
        <f>8.3454*0.909251</f>
        <v>7.5880632953999996</v>
      </c>
      <c r="M109" s="18">
        <f>(H109/L109)</f>
        <v>8593.1017522650709</v>
      </c>
      <c r="N109" s="17">
        <f>(M109*(K109/100))</f>
        <v>10292.817278863102</v>
      </c>
      <c r="O109" s="17">
        <f>H109/L109</f>
        <v>8593.1017522650709</v>
      </c>
      <c r="P109" s="16" t="s">
        <v>92</v>
      </c>
      <c r="Q109" s="16" t="s">
        <v>37</v>
      </c>
      <c r="R109" s="23">
        <v>162</v>
      </c>
      <c r="S109" s="13" t="s">
        <v>103</v>
      </c>
      <c r="T109" s="17">
        <f>(N109-V109)/R109</f>
        <v>63.535909128784581</v>
      </c>
      <c r="U109" s="17">
        <f>(O109-V109)/R109</f>
        <v>53.043837976944879</v>
      </c>
      <c r="V109" s="16"/>
      <c r="W109" s="16"/>
      <c r="X109" s="16"/>
      <c r="Y109" s="16"/>
      <c r="Z109" s="16"/>
      <c r="AA109" s="16"/>
      <c r="AB109" s="16"/>
      <c r="AC109" s="16" t="s">
        <v>39</v>
      </c>
      <c r="AD109" s="19"/>
    </row>
    <row r="110" spans="2:30">
      <c r="B110" s="14">
        <v>45551</v>
      </c>
      <c r="C110" s="20" t="s">
        <v>180</v>
      </c>
      <c r="D110" s="16" t="s">
        <v>181</v>
      </c>
      <c r="E110" s="16"/>
      <c r="F110" s="17"/>
      <c r="G110" s="16" t="s">
        <v>106</v>
      </c>
      <c r="H110" s="16">
        <f>402.5*173</f>
        <v>69632.5</v>
      </c>
      <c r="I110" s="7" t="s">
        <v>35</v>
      </c>
      <c r="J110" s="20" t="s">
        <v>180</v>
      </c>
      <c r="K110" s="17">
        <v>120.08</v>
      </c>
      <c r="L110" s="17">
        <f>0.908905*8.3454</f>
        <v>7.5851757869999998</v>
      </c>
      <c r="M110" s="18">
        <f t="shared" ref="M110:M115" si="31">(H110/L110)</f>
        <v>9180.0772922548495</v>
      </c>
      <c r="N110" s="17">
        <f t="shared" ref="N110:N115" si="32">(M110*(K110/100))</f>
        <v>11023.436812539625</v>
      </c>
      <c r="O110" s="17">
        <f t="shared" ref="O110:O115" si="33">H110/L110</f>
        <v>9180.0772922548495</v>
      </c>
      <c r="P110" s="16" t="s">
        <v>92</v>
      </c>
      <c r="Q110" s="16" t="s">
        <v>37</v>
      </c>
      <c r="R110" s="23">
        <v>173</v>
      </c>
      <c r="S110" s="13" t="s">
        <v>103</v>
      </c>
      <c r="T110" s="17">
        <f t="shared" ref="T110:T115" si="34">(N110-V110)/R110</f>
        <v>63.719287933755055</v>
      </c>
      <c r="U110" s="17">
        <f t="shared" ref="U110:U115" si="35">(O110-V110)/R110</f>
        <v>53.064030591068494</v>
      </c>
      <c r="V110" s="16"/>
      <c r="W110" s="16"/>
      <c r="X110" s="16"/>
      <c r="Y110" s="16"/>
      <c r="Z110" s="16"/>
      <c r="AA110" s="16"/>
      <c r="AB110" s="16"/>
      <c r="AC110" s="16" t="s">
        <v>39</v>
      </c>
      <c r="AD110" s="19"/>
    </row>
    <row r="111" spans="2:30">
      <c r="B111" s="14">
        <v>45552</v>
      </c>
      <c r="C111" s="20" t="s">
        <v>180</v>
      </c>
      <c r="D111" s="16" t="s">
        <v>182</v>
      </c>
      <c r="E111" s="16"/>
      <c r="F111" s="17"/>
      <c r="G111" s="16" t="s">
        <v>106</v>
      </c>
      <c r="H111" s="16">
        <v>18665</v>
      </c>
      <c r="I111" s="7" t="s">
        <v>35</v>
      </c>
      <c r="J111" s="20" t="s">
        <v>180</v>
      </c>
      <c r="K111" s="17">
        <v>120.19</v>
      </c>
      <c r="L111" s="17">
        <f>0.908788*8.3454</f>
        <v>7.5841993751999999</v>
      </c>
      <c r="M111" s="18">
        <f t="shared" si="31"/>
        <v>2461.037622643958</v>
      </c>
      <c r="N111" s="17">
        <f t="shared" si="32"/>
        <v>2957.9211186557732</v>
      </c>
      <c r="O111" s="17">
        <f t="shared" si="33"/>
        <v>2461.037622643958</v>
      </c>
      <c r="P111" s="16" t="s">
        <v>92</v>
      </c>
      <c r="Q111" s="16" t="s">
        <v>37</v>
      </c>
      <c r="R111" s="23">
        <v>47</v>
      </c>
      <c r="S111" s="13" t="s">
        <v>103</v>
      </c>
      <c r="T111" s="17">
        <f t="shared" si="34"/>
        <v>62.934491886293046</v>
      </c>
      <c r="U111" s="17">
        <f t="shared" si="35"/>
        <v>52.362502609445912</v>
      </c>
      <c r="V111" s="16"/>
      <c r="W111" s="16"/>
      <c r="X111" s="16"/>
      <c r="Y111" s="16"/>
      <c r="Z111" s="16"/>
      <c r="AA111" s="16"/>
      <c r="AB111" s="16"/>
      <c r="AC111" s="16" t="s">
        <v>39</v>
      </c>
      <c r="AD111" s="19"/>
    </row>
    <row r="112" spans="2:30">
      <c r="B112" s="14">
        <v>45552</v>
      </c>
      <c r="C112" s="20" t="s">
        <v>180</v>
      </c>
      <c r="D112" s="16" t="s">
        <v>183</v>
      </c>
      <c r="E112" s="16"/>
      <c r="F112" s="17"/>
      <c r="G112" s="16"/>
      <c r="H112" s="16">
        <f>402.5*138</f>
        <v>55545</v>
      </c>
      <c r="I112" s="7" t="s">
        <v>35</v>
      </c>
      <c r="J112" s="20" t="s">
        <v>180</v>
      </c>
      <c r="K112" s="17">
        <v>120.15</v>
      </c>
      <c r="L112" s="17">
        <f>0.908835*8.3454</f>
        <v>7.5845916089999994</v>
      </c>
      <c r="M112" s="18">
        <f t="shared" si="31"/>
        <v>7323.4002387273431</v>
      </c>
      <c r="N112" s="17">
        <f t="shared" si="32"/>
        <v>8799.0653868309037</v>
      </c>
      <c r="O112" s="17">
        <f t="shared" si="33"/>
        <v>7323.4002387273431</v>
      </c>
      <c r="P112" s="16" t="s">
        <v>92</v>
      </c>
      <c r="Q112" s="16" t="s">
        <v>37</v>
      </c>
      <c r="R112" s="23">
        <v>138</v>
      </c>
      <c r="S112" s="13" t="s">
        <v>103</v>
      </c>
      <c r="T112" s="17">
        <f t="shared" si="34"/>
        <v>63.761343382832635</v>
      </c>
      <c r="U112" s="17">
        <f t="shared" si="35"/>
        <v>53.068117671937266</v>
      </c>
      <c r="V112" s="16"/>
      <c r="W112" s="16"/>
      <c r="X112" s="16"/>
      <c r="Y112" s="16"/>
      <c r="Z112" s="16"/>
      <c r="AA112" s="16"/>
      <c r="AB112" s="16"/>
      <c r="AC112" s="16" t="s">
        <v>39</v>
      </c>
      <c r="AD112" s="19"/>
    </row>
    <row r="113" spans="2:30">
      <c r="B113" s="14">
        <v>45552</v>
      </c>
      <c r="C113" s="20" t="s">
        <v>180</v>
      </c>
      <c r="D113" s="16" t="s">
        <v>184</v>
      </c>
      <c r="E113" s="16"/>
      <c r="F113" s="17"/>
      <c r="G113" s="16"/>
      <c r="H113" s="16">
        <f>402.5*233</f>
        <v>93782.5</v>
      </c>
      <c r="I113" s="7" t="s">
        <v>35</v>
      </c>
      <c r="J113" s="15" t="s">
        <v>180</v>
      </c>
      <c r="K113" s="17">
        <v>119.85</v>
      </c>
      <c r="L113" s="17">
        <f>0.909171*8.3454</f>
        <v>7.5873956633999997</v>
      </c>
      <c r="M113" s="18">
        <f t="shared" si="31"/>
        <v>12360.30176367196</v>
      </c>
      <c r="N113" s="17">
        <f t="shared" si="32"/>
        <v>14813.821663760842</v>
      </c>
      <c r="O113" s="17">
        <f t="shared" si="33"/>
        <v>12360.30176367196</v>
      </c>
      <c r="P113" s="16" t="s">
        <v>36</v>
      </c>
      <c r="Q113" s="16" t="s">
        <v>37</v>
      </c>
      <c r="R113" s="23">
        <v>233</v>
      </c>
      <c r="S113" s="13" t="s">
        <v>103</v>
      </c>
      <c r="T113" s="17">
        <f t="shared" si="34"/>
        <v>63.578633750046535</v>
      </c>
      <c r="U113" s="17">
        <f t="shared" si="35"/>
        <v>53.048505423484805</v>
      </c>
      <c r="V113" s="16"/>
      <c r="W113" s="16"/>
      <c r="X113" s="16"/>
      <c r="Y113" s="16"/>
      <c r="Z113" s="16"/>
      <c r="AA113" s="16"/>
      <c r="AB113" s="16"/>
      <c r="AC113" s="16" t="s">
        <v>39</v>
      </c>
      <c r="AD113" s="19"/>
    </row>
    <row r="114" spans="2:30">
      <c r="B114" s="14">
        <v>45553</v>
      </c>
      <c r="C114" s="20" t="s">
        <v>180</v>
      </c>
      <c r="D114" s="16" t="s">
        <v>185</v>
      </c>
      <c r="E114" s="16"/>
      <c r="F114" s="17"/>
      <c r="G114" s="16" t="s">
        <v>106</v>
      </c>
      <c r="H114" s="16">
        <v>88385</v>
      </c>
      <c r="I114" s="7" t="s">
        <v>35</v>
      </c>
      <c r="J114" s="15" t="s">
        <v>180</v>
      </c>
      <c r="K114" s="17">
        <v>120.13</v>
      </c>
      <c r="L114" s="17">
        <f>0.908852*8.3454</f>
        <v>7.5847334807999998</v>
      </c>
      <c r="M114" s="18">
        <f t="shared" si="31"/>
        <v>11653.013283029371</v>
      </c>
      <c r="N114" s="17">
        <f t="shared" si="32"/>
        <v>13998.764856903184</v>
      </c>
      <c r="O114" s="17">
        <f t="shared" si="33"/>
        <v>11653.013283029371</v>
      </c>
      <c r="P114" s="16" t="s">
        <v>36</v>
      </c>
      <c r="Q114" s="16" t="s">
        <v>37</v>
      </c>
      <c r="R114" s="23">
        <v>220</v>
      </c>
      <c r="S114" s="13" t="s">
        <v>103</v>
      </c>
      <c r="T114" s="17">
        <f t="shared" si="34"/>
        <v>63.630749349559927</v>
      </c>
      <c r="U114" s="17">
        <f t="shared" si="35"/>
        <v>52.968242195588054</v>
      </c>
      <c r="V114" s="16"/>
      <c r="W114" s="16"/>
      <c r="X114" s="16"/>
      <c r="Y114" s="16"/>
      <c r="Z114" s="16"/>
      <c r="AA114" s="16"/>
      <c r="AB114" s="16"/>
      <c r="AC114" s="16" t="s">
        <v>39</v>
      </c>
      <c r="AD114" s="19"/>
    </row>
    <row r="115" spans="2:30">
      <c r="B115" s="14">
        <v>45553</v>
      </c>
      <c r="C115" s="20" t="s">
        <v>180</v>
      </c>
      <c r="D115" s="16" t="s">
        <v>186</v>
      </c>
      <c r="E115" s="16"/>
      <c r="F115" s="17"/>
      <c r="G115" s="16" t="s">
        <v>106</v>
      </c>
      <c r="H115" s="16">
        <f>402.5*239</f>
        <v>96197.5</v>
      </c>
      <c r="I115" s="7" t="s">
        <v>35</v>
      </c>
      <c r="J115" s="15" t="s">
        <v>180</v>
      </c>
      <c r="K115" s="17">
        <v>119.76</v>
      </c>
      <c r="L115" s="17">
        <f>0.909268*8.3454</f>
        <v>7.588205167199999</v>
      </c>
      <c r="M115" s="18">
        <f t="shared" si="31"/>
        <v>12677.24025383677</v>
      </c>
      <c r="N115" s="17">
        <f t="shared" si="32"/>
        <v>15182.262927994916</v>
      </c>
      <c r="O115" s="17">
        <f t="shared" si="33"/>
        <v>12677.24025383677</v>
      </c>
      <c r="P115" s="16" t="s">
        <v>36</v>
      </c>
      <c r="Q115" s="16" t="s">
        <v>37</v>
      </c>
      <c r="R115" s="23">
        <v>239</v>
      </c>
      <c r="S115" s="13" t="s">
        <v>103</v>
      </c>
      <c r="T115" s="17">
        <f t="shared" si="34"/>
        <v>63.524112669434793</v>
      </c>
      <c r="U115" s="17">
        <f t="shared" si="35"/>
        <v>53.042846250363056</v>
      </c>
      <c r="V115" s="16"/>
      <c r="W115" s="16"/>
      <c r="X115" s="16"/>
      <c r="Y115" s="16"/>
      <c r="Z115" s="16"/>
      <c r="AA115" s="16"/>
      <c r="AB115" s="16"/>
      <c r="AC115" s="16" t="s">
        <v>39</v>
      </c>
      <c r="AD115" s="19"/>
    </row>
    <row r="116" spans="2:30">
      <c r="B116" s="14">
        <v>45553</v>
      </c>
      <c r="C116" s="20" t="s">
        <v>187</v>
      </c>
      <c r="D116" s="16" t="s">
        <v>188</v>
      </c>
      <c r="E116" s="16"/>
      <c r="F116" s="17"/>
      <c r="G116" s="16" t="s">
        <v>106</v>
      </c>
      <c r="H116" s="16">
        <f>201*402.5</f>
        <v>80902.5</v>
      </c>
      <c r="I116" s="16" t="s">
        <v>35</v>
      </c>
      <c r="J116" s="20" t="s">
        <v>187</v>
      </c>
      <c r="K116" s="17">
        <v>120.17</v>
      </c>
      <c r="L116" s="17">
        <f>0.908808*8.3454</f>
        <v>7.5843662831999996</v>
      </c>
      <c r="M116" s="18">
        <f>(H116/L116)</f>
        <v>10667.008551420538</v>
      </c>
      <c r="N116" s="17">
        <f>(M116*(K116/100))</f>
        <v>12818.544176242061</v>
      </c>
      <c r="O116" s="17">
        <f>H116/L116</f>
        <v>10667.008551420538</v>
      </c>
      <c r="P116" s="16" t="s">
        <v>36</v>
      </c>
      <c r="Q116" s="16" t="s">
        <v>37</v>
      </c>
      <c r="R116" s="23">
        <v>201</v>
      </c>
      <c r="S116" s="13" t="s">
        <v>103</v>
      </c>
      <c r="T116" s="17">
        <f>(N116-V116)/R116</f>
        <v>63.773851623094835</v>
      </c>
      <c r="U116" s="17">
        <f>(O116-V116)/R116</f>
        <v>53.069694285674323</v>
      </c>
      <c r="V116" s="16"/>
      <c r="W116" s="16"/>
      <c r="X116" s="16"/>
      <c r="Y116" s="16"/>
      <c r="Z116" s="16"/>
      <c r="AA116" s="16"/>
      <c r="AB116" s="16"/>
      <c r="AC116" s="16" t="s">
        <v>39</v>
      </c>
      <c r="AD116" s="19"/>
    </row>
    <row r="117" spans="2:30">
      <c r="B117" s="14">
        <v>45554</v>
      </c>
      <c r="C117" s="20" t="s">
        <v>187</v>
      </c>
      <c r="D117" s="16" t="s">
        <v>189</v>
      </c>
      <c r="E117" s="16"/>
      <c r="F117" s="17"/>
      <c r="G117" s="16" t="s">
        <v>106</v>
      </c>
      <c r="H117" s="16">
        <v>85965</v>
      </c>
      <c r="I117" s="16" t="s">
        <v>35</v>
      </c>
      <c r="J117" s="20" t="s">
        <v>187</v>
      </c>
      <c r="K117" s="17">
        <v>120.27</v>
      </c>
      <c r="L117" s="17">
        <f>0.908697*8.3454</f>
        <v>7.5834399437999993</v>
      </c>
      <c r="M117" s="18">
        <f>(H117/L117)</f>
        <v>11335.884590248848</v>
      </c>
      <c r="N117" s="17">
        <f>(M117*(K117/100))</f>
        <v>13633.668396692288</v>
      </c>
      <c r="O117" s="17">
        <f>H117/L117</f>
        <v>11335.884590248848</v>
      </c>
      <c r="P117" s="16" t="s">
        <v>36</v>
      </c>
      <c r="Q117" s="16" t="s">
        <v>37</v>
      </c>
      <c r="R117" s="23">
        <v>214</v>
      </c>
      <c r="S117" s="13" t="s">
        <v>103</v>
      </c>
      <c r="T117" s="17">
        <f>(N117-V117)/R117</f>
        <v>63.708730825664901</v>
      </c>
      <c r="U117" s="17">
        <f>(O117-V117)/R117</f>
        <v>52.971423318919854</v>
      </c>
      <c r="V117" s="16"/>
      <c r="W117" s="16"/>
      <c r="X117" s="16"/>
      <c r="Y117" s="16"/>
      <c r="Z117" s="16"/>
      <c r="AA117" s="16"/>
      <c r="AB117" s="16"/>
      <c r="AC117" s="16" t="s">
        <v>39</v>
      </c>
      <c r="AD117" s="19"/>
    </row>
    <row r="118" spans="2:30">
      <c r="B118" s="14">
        <v>45554</v>
      </c>
      <c r="C118" s="20" t="s">
        <v>187</v>
      </c>
      <c r="D118" s="16" t="s">
        <v>190</v>
      </c>
      <c r="E118" s="16"/>
      <c r="F118" s="17"/>
      <c r="G118" s="16" t="s">
        <v>106</v>
      </c>
      <c r="H118" s="16">
        <f>86435-41457.5</f>
        <v>44977.5</v>
      </c>
      <c r="I118" s="16" t="s">
        <v>35</v>
      </c>
      <c r="J118" s="20" t="s">
        <v>187</v>
      </c>
      <c r="K118" s="17">
        <v>119.84</v>
      </c>
      <c r="L118" s="17">
        <f>0.909175*8.3454</f>
        <v>7.5874290449999995</v>
      </c>
      <c r="M118" s="18">
        <f>(H118/L118)</f>
        <v>5927.8972802572025</v>
      </c>
      <c r="N118" s="17">
        <f>(M118*(K118/100))</f>
        <v>7103.9921006602326</v>
      </c>
      <c r="O118" s="17">
        <f>H118/L118</f>
        <v>5927.8972802572025</v>
      </c>
      <c r="P118" s="16" t="s">
        <v>36</v>
      </c>
      <c r="Q118" s="16" t="s">
        <v>37</v>
      </c>
      <c r="R118" s="23">
        <v>110</v>
      </c>
      <c r="S118" s="13" t="s">
        <v>103</v>
      </c>
      <c r="T118" s="17">
        <f>(N118-V118)/R118</f>
        <v>64.581746369638481</v>
      </c>
      <c r="U118" s="17">
        <f>(O118-V118)/R118</f>
        <v>53.889975275065474</v>
      </c>
      <c r="V118" s="16"/>
      <c r="W118" s="16"/>
      <c r="X118" s="16"/>
      <c r="Y118" s="16"/>
      <c r="Z118" s="16"/>
      <c r="AA118" s="16"/>
      <c r="AB118" s="16"/>
      <c r="AC118" s="16" t="s">
        <v>39</v>
      </c>
      <c r="AD118" s="19"/>
    </row>
    <row r="119" spans="2:30">
      <c r="B119" s="14">
        <v>45554</v>
      </c>
      <c r="C119" s="20" t="s">
        <v>191</v>
      </c>
      <c r="D119" s="16" t="s">
        <v>192</v>
      </c>
      <c r="E119" s="16"/>
      <c r="F119" s="17"/>
      <c r="G119" s="16" t="s">
        <v>106</v>
      </c>
      <c r="H119" s="16">
        <f>402.5*74</f>
        <v>29785</v>
      </c>
      <c r="I119" s="16" t="s">
        <v>35</v>
      </c>
      <c r="J119" s="20" t="s">
        <v>191</v>
      </c>
      <c r="K119" s="17">
        <v>120.25</v>
      </c>
      <c r="L119" s="17">
        <f>0.908719*8.3454</f>
        <v>7.5836235425999998</v>
      </c>
      <c r="M119" s="18">
        <f>(H119/L119)</f>
        <v>3927.5420031976419</v>
      </c>
      <c r="N119" s="17">
        <f>(M119*(K119/100))</f>
        <v>4722.869258845164</v>
      </c>
      <c r="O119" s="17">
        <f>H119/L119</f>
        <v>3927.5420031976419</v>
      </c>
      <c r="P119" s="16" t="s">
        <v>92</v>
      </c>
      <c r="Q119" s="16" t="s">
        <v>37</v>
      </c>
      <c r="R119" s="23">
        <v>74</v>
      </c>
      <c r="S119" s="13" t="s">
        <v>103</v>
      </c>
      <c r="T119" s="17">
        <f>(N119-V119)/R119</f>
        <v>63.82255755196168</v>
      </c>
      <c r="U119" s="17">
        <f>(O119-V119)/R119</f>
        <v>53.074891935103267</v>
      </c>
      <c r="V119" s="16"/>
      <c r="W119" s="16"/>
      <c r="X119" s="16"/>
      <c r="Y119" s="16"/>
      <c r="Z119" s="16"/>
      <c r="AA119" s="16"/>
      <c r="AB119" s="16"/>
      <c r="AC119" s="16" t="s">
        <v>39</v>
      </c>
      <c r="AD119" s="19"/>
    </row>
    <row r="120" spans="2:30">
      <c r="B120" s="14">
        <v>45555</v>
      </c>
      <c r="C120" s="20" t="s">
        <v>191</v>
      </c>
      <c r="D120" s="16" t="s">
        <v>193</v>
      </c>
      <c r="E120" s="16"/>
      <c r="F120" s="17"/>
      <c r="G120" s="16" t="s">
        <v>106</v>
      </c>
      <c r="H120" s="16">
        <v>82430</v>
      </c>
      <c r="I120" s="16" t="s">
        <v>35</v>
      </c>
      <c r="J120" s="20" t="s">
        <v>191</v>
      </c>
      <c r="K120" s="17">
        <v>119.92</v>
      </c>
      <c r="L120" s="17">
        <f>0.909085*8.3454</f>
        <v>7.5866779590000002</v>
      </c>
      <c r="M120" s="18">
        <f>(H120/L120)</f>
        <v>10865.098063403906</v>
      </c>
      <c r="N120" s="17">
        <f>(M120*(K120/100))</f>
        <v>13029.425597633965</v>
      </c>
      <c r="O120" s="17">
        <f>H120/L120</f>
        <v>10865.098063403906</v>
      </c>
      <c r="P120" s="16" t="s">
        <v>92</v>
      </c>
      <c r="Q120" s="16" t="s">
        <v>37</v>
      </c>
      <c r="R120" s="23">
        <v>204</v>
      </c>
      <c r="S120" s="13" t="s">
        <v>103</v>
      </c>
      <c r="T120" s="17">
        <f>(N120-V120)/R120</f>
        <v>63.869733321735119</v>
      </c>
      <c r="U120" s="17">
        <f>(O120-V120)/R120</f>
        <v>53.26028462452895</v>
      </c>
      <c r="V120" s="16"/>
      <c r="W120" s="16"/>
      <c r="X120" s="16"/>
      <c r="Y120" s="16"/>
      <c r="Z120" s="16"/>
      <c r="AA120" s="16"/>
      <c r="AB120" s="16"/>
      <c r="AC120" s="16" t="s">
        <v>39</v>
      </c>
      <c r="AD120" s="19"/>
    </row>
    <row r="121" spans="2:30">
      <c r="B121" s="14">
        <v>45555</v>
      </c>
      <c r="C121" s="20" t="s">
        <v>191</v>
      </c>
      <c r="D121" s="16" t="s">
        <v>194</v>
      </c>
      <c r="E121" s="16"/>
      <c r="F121" s="17"/>
      <c r="G121" s="16" t="s">
        <v>106</v>
      </c>
      <c r="H121" s="16">
        <v>84417</v>
      </c>
      <c r="I121" s="16" t="s">
        <v>35</v>
      </c>
      <c r="J121" s="20" t="s">
        <v>191</v>
      </c>
      <c r="K121" s="17">
        <v>120.12</v>
      </c>
      <c r="L121" s="17">
        <f>0.908864*8.3454</f>
        <v>7.5848336256</v>
      </c>
      <c r="M121" s="18">
        <f>(H121/L121)</f>
        <v>11129.710177831643</v>
      </c>
      <c r="N121" s="17">
        <f>(M121*(K121/100))</f>
        <v>13369.007865611369</v>
      </c>
      <c r="O121" s="17">
        <f>H121/L121</f>
        <v>11129.710177831643</v>
      </c>
      <c r="P121" s="16" t="s">
        <v>36</v>
      </c>
      <c r="Q121" s="16" t="s">
        <v>37</v>
      </c>
      <c r="R121" s="23">
        <v>205</v>
      </c>
      <c r="S121" s="13" t="s">
        <v>103</v>
      </c>
      <c r="T121" s="17">
        <f>(N121-V121)/R121</f>
        <v>65.214672515177412</v>
      </c>
      <c r="U121" s="17">
        <f>(O121-V121)/R121</f>
        <v>54.291269160154357</v>
      </c>
      <c r="V121" s="16"/>
      <c r="W121" s="16"/>
      <c r="X121" s="16"/>
      <c r="Y121" s="16"/>
      <c r="Z121" s="16"/>
      <c r="AA121" s="16"/>
      <c r="AB121" s="16"/>
      <c r="AC121" s="16" t="s">
        <v>39</v>
      </c>
      <c r="AD121" s="19"/>
    </row>
    <row r="122" spans="2:30">
      <c r="B122" s="14">
        <v>45555</v>
      </c>
      <c r="C122" s="20" t="s">
        <v>191</v>
      </c>
      <c r="D122" s="16" t="s">
        <v>195</v>
      </c>
      <c r="E122" s="16"/>
      <c r="F122" s="17"/>
      <c r="G122" s="16" t="s">
        <v>106</v>
      </c>
      <c r="H122" s="16">
        <f>402.5*218</f>
        <v>87745</v>
      </c>
      <c r="I122" s="16" t="s">
        <v>35</v>
      </c>
      <c r="J122" s="20" t="s">
        <v>191</v>
      </c>
      <c r="K122" s="17">
        <v>120.16</v>
      </c>
      <c r="L122" s="17">
        <f>0.908822*8.3454</f>
        <v>7.5844831187999997</v>
      </c>
      <c r="M122" s="18">
        <f>(H122/L122)</f>
        <v>11569.015135982374</v>
      </c>
      <c r="N122" s="17">
        <f>(M122*(K122/100))</f>
        <v>13901.328587396421</v>
      </c>
      <c r="O122" s="17">
        <f>H122/L122</f>
        <v>11569.015135982374</v>
      </c>
      <c r="P122" s="16" t="s">
        <v>36</v>
      </c>
      <c r="Q122" s="16" t="s">
        <v>37</v>
      </c>
      <c r="R122" s="23">
        <v>218</v>
      </c>
      <c r="S122" s="13" t="s">
        <v>103</v>
      </c>
      <c r="T122" s="17">
        <f>(N122-V122)/R122</f>
        <v>63.767562327506518</v>
      </c>
      <c r="U122" s="17">
        <f>(O122-V122)/R122</f>
        <v>53.068876770561346</v>
      </c>
      <c r="V122" s="16"/>
      <c r="W122" s="16"/>
      <c r="X122" s="16"/>
      <c r="Y122" s="16"/>
      <c r="Z122" s="16"/>
      <c r="AA122" s="16"/>
      <c r="AB122" s="16"/>
      <c r="AC122" s="16" t="s">
        <v>39</v>
      </c>
      <c r="AD122" s="19"/>
    </row>
    <row r="123" spans="2:30">
      <c r="B123" s="14">
        <v>45558</v>
      </c>
      <c r="C123" s="20" t="s">
        <v>191</v>
      </c>
      <c r="D123" s="16" t="s">
        <v>196</v>
      </c>
      <c r="E123" s="16"/>
      <c r="F123" s="17"/>
      <c r="G123" s="16"/>
      <c r="H123" s="16">
        <f>402.5*216</f>
        <v>86940</v>
      </c>
      <c r="I123" s="16" t="s">
        <v>35</v>
      </c>
      <c r="J123" s="20" t="s">
        <v>191</v>
      </c>
      <c r="K123" s="17">
        <v>119.72</v>
      </c>
      <c r="L123" s="17">
        <f>0.909314*8.3454</f>
        <v>7.5885890555999991</v>
      </c>
      <c r="M123" s="18">
        <f t="shared" ref="M123:M124" si="36">(H123/L123)</f>
        <v>11456.675195218621</v>
      </c>
      <c r="N123" s="17">
        <f t="shared" ref="N123:N124" si="37">(M123*(K123/100))</f>
        <v>13715.931543715733</v>
      </c>
      <c r="O123" s="17">
        <f t="shared" ref="O123:O124" si="38">H123/L123</f>
        <v>11456.675195218621</v>
      </c>
      <c r="P123" s="16" t="s">
        <v>36</v>
      </c>
      <c r="Q123" s="16" t="s">
        <v>37</v>
      </c>
      <c r="R123" s="23">
        <v>216</v>
      </c>
      <c r="S123" s="13" t="s">
        <v>103</v>
      </c>
      <c r="T123" s="17">
        <f t="shared" ref="T123:T124" si="39">(N123-V123)/R123</f>
        <v>63.499683072758025</v>
      </c>
      <c r="U123" s="17">
        <f t="shared" ref="U123:U124" si="40">(O123-V123)/R123</f>
        <v>53.040162940826946</v>
      </c>
      <c r="V123" s="16"/>
      <c r="W123" s="16"/>
      <c r="X123" s="16"/>
      <c r="Y123" s="16"/>
      <c r="Z123" s="16"/>
      <c r="AA123" s="16"/>
      <c r="AB123" s="16"/>
      <c r="AC123" s="16" t="s">
        <v>39</v>
      </c>
      <c r="AD123" s="19"/>
    </row>
    <row r="124" spans="2:30">
      <c r="B124" s="14">
        <v>45558</v>
      </c>
      <c r="C124" s="20" t="s">
        <v>191</v>
      </c>
      <c r="D124" s="16" t="s">
        <v>197</v>
      </c>
      <c r="E124" s="16"/>
      <c r="F124" s="17"/>
      <c r="G124" s="16"/>
      <c r="H124" s="16">
        <v>84080</v>
      </c>
      <c r="I124" s="16" t="s">
        <v>35</v>
      </c>
      <c r="J124" s="20" t="s">
        <v>191</v>
      </c>
      <c r="K124" s="17">
        <v>119.79</v>
      </c>
      <c r="L124" s="17">
        <f>8.3454*0.909236</f>
        <v>7.5879381144</v>
      </c>
      <c r="M124" s="18">
        <f t="shared" si="36"/>
        <v>11080.744035120329</v>
      </c>
      <c r="N124" s="17">
        <f t="shared" si="37"/>
        <v>13273.623279670643</v>
      </c>
      <c r="O124" s="17">
        <f t="shared" si="38"/>
        <v>11080.744035120329</v>
      </c>
      <c r="P124" s="16" t="s">
        <v>36</v>
      </c>
      <c r="Q124" s="16" t="s">
        <v>37</v>
      </c>
      <c r="R124" s="23">
        <v>209</v>
      </c>
      <c r="S124" s="13" t="s">
        <v>103</v>
      </c>
      <c r="T124" s="17">
        <f t="shared" si="39"/>
        <v>63.510159232873889</v>
      </c>
      <c r="U124" s="17">
        <f t="shared" si="40"/>
        <v>53.017914043637937</v>
      </c>
      <c r="V124" s="16"/>
      <c r="W124" s="16"/>
      <c r="X124" s="16"/>
      <c r="Y124" s="16"/>
      <c r="Z124" s="16"/>
      <c r="AA124" s="16"/>
      <c r="AB124" s="16"/>
      <c r="AC124" s="16" t="s">
        <v>39</v>
      </c>
      <c r="AD124" s="19"/>
    </row>
    <row r="125" spans="2:30">
      <c r="B125" s="14">
        <v>45558</v>
      </c>
      <c r="C125" s="20" t="s">
        <v>191</v>
      </c>
      <c r="D125" s="16" t="s">
        <v>198</v>
      </c>
      <c r="E125" s="16"/>
      <c r="F125" s="17"/>
      <c r="G125" s="16"/>
      <c r="H125" s="16">
        <f>83*402.5</f>
        <v>33407.5</v>
      </c>
      <c r="I125" s="16" t="s">
        <v>35</v>
      </c>
      <c r="J125" s="20" t="s">
        <v>191</v>
      </c>
      <c r="K125" s="17">
        <v>119.93</v>
      </c>
      <c r="L125" s="17">
        <f>8.3454*0.909094</f>
        <v>7.5867530675999992</v>
      </c>
      <c r="M125" s="18">
        <f>(H125/L125)</f>
        <v>4403.3988851792383</v>
      </c>
      <c r="N125" s="17">
        <f>(M125*(K125/100))</f>
        <v>5280.9962829954602</v>
      </c>
      <c r="O125" s="17">
        <f>H125/L125</f>
        <v>4403.3988851792383</v>
      </c>
      <c r="P125" s="16" t="s">
        <v>36</v>
      </c>
      <c r="Q125" s="16" t="s">
        <v>37</v>
      </c>
      <c r="R125" s="23">
        <v>83</v>
      </c>
      <c r="S125" s="13" t="s">
        <v>103</v>
      </c>
      <c r="T125" s="17">
        <f>(N125-V125)/R125</f>
        <v>63.626461240909158</v>
      </c>
      <c r="U125" s="17">
        <f>(O125-V125)/R125</f>
        <v>53.05299861661733</v>
      </c>
      <c r="V125" s="16"/>
      <c r="W125" s="16"/>
      <c r="X125" s="16"/>
      <c r="Y125" s="16"/>
      <c r="Z125" s="16"/>
      <c r="AA125" s="16"/>
      <c r="AB125" s="16"/>
      <c r="AC125" s="16" t="s">
        <v>39</v>
      </c>
      <c r="AD125" s="19"/>
    </row>
    <row r="126" spans="2:30">
      <c r="B126" s="14">
        <v>45558</v>
      </c>
      <c r="C126" s="20" t="s">
        <v>199</v>
      </c>
      <c r="D126" s="16" t="s">
        <v>200</v>
      </c>
      <c r="E126" s="16"/>
      <c r="F126" s="17"/>
      <c r="G126" s="16" t="s">
        <v>106</v>
      </c>
      <c r="H126" s="16">
        <v>83855</v>
      </c>
      <c r="I126" s="16" t="s">
        <v>35</v>
      </c>
      <c r="J126" s="20" t="s">
        <v>199</v>
      </c>
      <c r="K126" s="17">
        <v>110.01</v>
      </c>
      <c r="L126" s="17">
        <f>0.919831*8.3454</f>
        <v>7.6763576273999989</v>
      </c>
      <c r="M126" s="18">
        <f t="shared" ref="M126:M131" si="41">(H126/L126)</f>
        <v>10923.800592704003</v>
      </c>
      <c r="N126" s="17">
        <f t="shared" ref="N126:N131" si="42">(M126*(K126/100))</f>
        <v>12017.273032033674</v>
      </c>
      <c r="O126" s="17">
        <f t="shared" ref="O126:O131" si="43">H126/L126</f>
        <v>10923.800592704003</v>
      </c>
      <c r="P126" s="16" t="s">
        <v>36</v>
      </c>
      <c r="Q126" s="16" t="s">
        <v>37</v>
      </c>
      <c r="R126" s="23">
        <v>205</v>
      </c>
      <c r="S126" s="13" t="s">
        <v>103</v>
      </c>
      <c r="T126" s="17">
        <f>(N126-V126)/R126</f>
        <v>58.620844058700847</v>
      </c>
      <c r="U126" s="17">
        <f>(O126-V126)/R126</f>
        <v>53.28683215953172</v>
      </c>
      <c r="V126" s="16"/>
      <c r="W126" s="16"/>
      <c r="X126" s="16"/>
      <c r="Y126" s="16"/>
      <c r="Z126" s="16"/>
      <c r="AA126" s="16"/>
      <c r="AB126" s="16"/>
      <c r="AC126" s="16" t="s">
        <v>39</v>
      </c>
      <c r="AD126" s="19"/>
    </row>
    <row r="127" spans="2:30">
      <c r="B127" s="14">
        <v>45559</v>
      </c>
      <c r="C127" s="20" t="s">
        <v>199</v>
      </c>
      <c r="D127" s="16" t="s">
        <v>201</v>
      </c>
      <c r="E127" s="16"/>
      <c r="F127" s="17"/>
      <c r="G127" s="16" t="s">
        <v>106</v>
      </c>
      <c r="H127" s="16">
        <f>409*211</f>
        <v>86299</v>
      </c>
      <c r="I127" s="16" t="s">
        <v>35</v>
      </c>
      <c r="J127" s="20" t="s">
        <v>199</v>
      </c>
      <c r="K127" s="17">
        <v>110.3</v>
      </c>
      <c r="L127" s="17">
        <f>0.919533*8.3454</f>
        <v>7.6738706982</v>
      </c>
      <c r="M127" s="18">
        <f t="shared" si="41"/>
        <v>11245.824095034919</v>
      </c>
      <c r="N127" s="17">
        <f t="shared" si="42"/>
        <v>12404.143976823516</v>
      </c>
      <c r="O127" s="17">
        <f t="shared" si="43"/>
        <v>11245.824095034919</v>
      </c>
      <c r="P127" s="16" t="s">
        <v>36</v>
      </c>
      <c r="Q127" s="16" t="s">
        <v>37</v>
      </c>
      <c r="R127" s="23">
        <v>211</v>
      </c>
      <c r="S127" s="13" t="s">
        <v>103</v>
      </c>
      <c r="T127" s="17">
        <f>(N127-V127)/R127</f>
        <v>58.787412212433722</v>
      </c>
      <c r="U127" s="17">
        <f>(O127-V127)/R127</f>
        <v>53.297744526231845</v>
      </c>
      <c r="V127" s="16"/>
      <c r="W127" s="16"/>
      <c r="X127" s="16"/>
      <c r="Y127" s="16"/>
      <c r="Z127" s="16"/>
      <c r="AA127" s="16"/>
      <c r="AB127" s="16"/>
      <c r="AC127" s="16" t="s">
        <v>39</v>
      </c>
      <c r="AD127" s="19"/>
    </row>
    <row r="128" spans="2:30">
      <c r="B128" s="14">
        <v>45560</v>
      </c>
      <c r="C128" s="20" t="s">
        <v>199</v>
      </c>
      <c r="D128" s="16" t="s">
        <v>202</v>
      </c>
      <c r="E128" s="16"/>
      <c r="F128" s="17"/>
      <c r="G128" s="16" t="s">
        <v>106</v>
      </c>
      <c r="H128" s="16">
        <f>409*222</f>
        <v>90798</v>
      </c>
      <c r="I128" s="16" t="s">
        <v>35</v>
      </c>
      <c r="J128" s="20" t="s">
        <v>199</v>
      </c>
      <c r="K128" s="17">
        <v>109.94</v>
      </c>
      <c r="L128" s="17">
        <f>0.919914*8.3454</f>
        <v>7.6770502956</v>
      </c>
      <c r="M128" s="18">
        <f t="shared" si="41"/>
        <v>11827.198794312924</v>
      </c>
      <c r="N128" s="17">
        <f t="shared" si="42"/>
        <v>13002.822354467628</v>
      </c>
      <c r="O128" s="17">
        <f t="shared" si="43"/>
        <v>11827.198794312924</v>
      </c>
      <c r="P128" s="16" t="s">
        <v>36</v>
      </c>
      <c r="Q128" s="16" t="s">
        <v>37</v>
      </c>
      <c r="R128" s="23">
        <v>222</v>
      </c>
      <c r="S128" s="13" t="s">
        <v>103</v>
      </c>
      <c r="T128" s="17">
        <f>(N128-V128)/R128</f>
        <v>58.571271866971294</v>
      </c>
      <c r="U128" s="17">
        <f>(O128-V128)/R128</f>
        <v>53.275670244652815</v>
      </c>
      <c r="V128" s="16"/>
      <c r="W128" s="16"/>
      <c r="X128" s="16"/>
      <c r="Y128" s="16"/>
      <c r="Z128" s="16"/>
      <c r="AA128" s="16"/>
      <c r="AB128" s="16"/>
      <c r="AC128" s="16" t="s">
        <v>39</v>
      </c>
      <c r="AD128" s="19"/>
    </row>
    <row r="129" spans="2:30">
      <c r="B129" s="14">
        <v>45560</v>
      </c>
      <c r="C129" s="20" t="s">
        <v>199</v>
      </c>
      <c r="D129" s="16" t="s">
        <v>203</v>
      </c>
      <c r="E129" s="16"/>
      <c r="F129" s="17"/>
      <c r="G129" s="16" t="s">
        <v>106</v>
      </c>
      <c r="H129" s="23">
        <f>409*219</f>
        <v>89571</v>
      </c>
      <c r="I129" s="16" t="s">
        <v>35</v>
      </c>
      <c r="J129" s="20" t="s">
        <v>199</v>
      </c>
      <c r="K129" s="17">
        <v>110.04</v>
      </c>
      <c r="L129" s="17">
        <f>0.919805*8.3454</f>
        <v>7.6761406469999995</v>
      </c>
      <c r="M129" s="18">
        <f t="shared" si="41"/>
        <v>11668.75440655276</v>
      </c>
      <c r="N129" s="17">
        <f t="shared" si="42"/>
        <v>12840.297348970658</v>
      </c>
      <c r="O129" s="17">
        <f t="shared" si="43"/>
        <v>11668.75440655276</v>
      </c>
      <c r="P129" s="16" t="s">
        <v>36</v>
      </c>
      <c r="Q129" s="16" t="s">
        <v>37</v>
      </c>
      <c r="R129" s="23">
        <v>219</v>
      </c>
      <c r="S129" s="13" t="s">
        <v>103</v>
      </c>
      <c r="T129" s="17">
        <f>(N129-V129)/R129</f>
        <v>58.63149474415826</v>
      </c>
      <c r="U129" s="17">
        <f>(O129-V129)/R129</f>
        <v>53.281983591565115</v>
      </c>
      <c r="V129" s="16"/>
      <c r="W129" s="16"/>
      <c r="X129" s="16"/>
      <c r="Y129" s="16"/>
      <c r="Z129" s="16"/>
      <c r="AA129" s="16"/>
      <c r="AB129" s="16"/>
      <c r="AC129" s="16" t="s">
        <v>39</v>
      </c>
      <c r="AD129" s="19"/>
    </row>
    <row r="130" spans="2:30">
      <c r="B130" s="14">
        <v>45561</v>
      </c>
      <c r="C130" s="20" t="s">
        <v>199</v>
      </c>
      <c r="D130" s="16" t="s">
        <v>204</v>
      </c>
      <c r="E130" s="16"/>
      <c r="F130" s="17"/>
      <c r="G130" s="16"/>
      <c r="H130" s="16">
        <f>409*222</f>
        <v>90798</v>
      </c>
      <c r="I130" s="16" t="s">
        <v>35</v>
      </c>
      <c r="J130" s="20" t="s">
        <v>199</v>
      </c>
      <c r="K130" s="17">
        <v>109.79</v>
      </c>
      <c r="L130" s="17">
        <f>0.920071*8.3454</f>
        <v>7.6783605233999994</v>
      </c>
      <c r="M130" s="18">
        <f t="shared" si="41"/>
        <v>11825.180612878332</v>
      </c>
      <c r="N130" s="17">
        <f t="shared" si="42"/>
        <v>12982.865794879122</v>
      </c>
      <c r="O130" s="17">
        <f t="shared" si="43"/>
        <v>11825.180612878332</v>
      </c>
      <c r="P130" s="16" t="s">
        <v>36</v>
      </c>
      <c r="Q130" s="16" t="s">
        <v>37</v>
      </c>
      <c r="R130" s="23">
        <v>222</v>
      </c>
      <c r="S130" s="13" t="s">
        <v>103</v>
      </c>
      <c r="T130" s="17">
        <f t="shared" ref="T130:T131" si="44">(N130-V130)/R130</f>
        <v>58.481377454410463</v>
      </c>
      <c r="U130" s="17">
        <f t="shared" ref="U130:U131" si="45">(O130-V130)/R130</f>
        <v>53.266579337289784</v>
      </c>
      <c r="V130" s="16"/>
      <c r="W130" s="16"/>
      <c r="X130" s="16"/>
      <c r="Y130" s="16"/>
      <c r="Z130" s="16"/>
      <c r="AA130" s="16"/>
      <c r="AB130" s="16"/>
      <c r="AC130" s="16" t="s">
        <v>39</v>
      </c>
      <c r="AD130" s="19"/>
    </row>
    <row r="131" spans="2:30">
      <c r="B131" s="14">
        <v>45561</v>
      </c>
      <c r="C131" s="20" t="s">
        <v>199</v>
      </c>
      <c r="D131" s="16" t="s">
        <v>205</v>
      </c>
      <c r="E131" s="16"/>
      <c r="F131" s="17"/>
      <c r="G131" s="16"/>
      <c r="H131" s="16">
        <f>409*130</f>
        <v>53170</v>
      </c>
      <c r="I131" s="16" t="s">
        <v>35</v>
      </c>
      <c r="J131" s="20" t="s">
        <v>199</v>
      </c>
      <c r="K131" s="17">
        <v>110.09</v>
      </c>
      <c r="L131" s="17">
        <f>0.919751*8.3454</f>
        <v>7.6756899954</v>
      </c>
      <c r="M131" s="18">
        <f t="shared" si="41"/>
        <v>6927.064541671758</v>
      </c>
      <c r="N131" s="17">
        <f t="shared" si="42"/>
        <v>7626.0053539264381</v>
      </c>
      <c r="O131" s="17">
        <f t="shared" si="43"/>
        <v>6927.064541671758</v>
      </c>
      <c r="P131" s="16" t="s">
        <v>36</v>
      </c>
      <c r="Q131" s="16" t="s">
        <v>37</v>
      </c>
      <c r="R131" s="23">
        <v>130</v>
      </c>
      <c r="S131" s="13" t="s">
        <v>103</v>
      </c>
      <c r="T131" s="17">
        <f t="shared" si="44"/>
        <v>58.661579645587985</v>
      </c>
      <c r="U131" s="17">
        <f t="shared" si="45"/>
        <v>53.285111859013526</v>
      </c>
      <c r="V131" s="16"/>
      <c r="W131" s="16"/>
      <c r="X131" s="16"/>
      <c r="Y131" s="16"/>
      <c r="Z131" s="16"/>
      <c r="AA131" s="16"/>
      <c r="AB131" s="16"/>
      <c r="AC131" s="16" t="s">
        <v>39</v>
      </c>
      <c r="AD131" s="19"/>
    </row>
    <row r="132" spans="2:30">
      <c r="B132" s="14">
        <v>45562</v>
      </c>
      <c r="C132" s="105" t="s">
        <v>206</v>
      </c>
      <c r="D132" s="16" t="s">
        <v>207</v>
      </c>
      <c r="E132" s="16"/>
      <c r="F132" s="17"/>
      <c r="G132" s="16" t="s">
        <v>106</v>
      </c>
      <c r="H132" s="16">
        <f>161*399.5</f>
        <v>64319.5</v>
      </c>
      <c r="I132" s="16" t="s">
        <v>35</v>
      </c>
      <c r="J132" s="105" t="s">
        <v>206</v>
      </c>
      <c r="K132" s="17">
        <v>125</v>
      </c>
      <c r="L132" s="17">
        <f>0.903196*8.3454</f>
        <v>7.5375318984000002</v>
      </c>
      <c r="M132" s="18">
        <f t="shared" ref="M132:M137" si="46">(H132/L132)</f>
        <v>8533.2308860481462</v>
      </c>
      <c r="N132" s="17">
        <v>10676.78</v>
      </c>
      <c r="O132" s="17">
        <f t="shared" ref="O132:O137" si="47">H132/L132</f>
        <v>8533.2308860481462</v>
      </c>
      <c r="P132" s="16" t="s">
        <v>208</v>
      </c>
      <c r="Q132" s="16" t="s">
        <v>37</v>
      </c>
      <c r="R132" s="23">
        <v>161</v>
      </c>
      <c r="S132" s="13" t="s">
        <v>103</v>
      </c>
      <c r="T132" s="17">
        <f t="shared" ref="T132:T137" si="48">(N132-V132)/R132</f>
        <v>66.315403726708084</v>
      </c>
      <c r="U132" s="17">
        <f t="shared" ref="U132:U137" si="49">(O132-V132)/R132</f>
        <v>53.001434074833206</v>
      </c>
      <c r="V132" s="16"/>
      <c r="W132" s="16"/>
      <c r="X132" s="16"/>
      <c r="Y132" s="16"/>
      <c r="Z132" s="16"/>
      <c r="AA132" s="16"/>
      <c r="AB132" s="16"/>
      <c r="AC132" s="16" t="s">
        <v>39</v>
      </c>
      <c r="AD132" s="19"/>
    </row>
    <row r="133" spans="2:30">
      <c r="B133" s="14">
        <v>45562</v>
      </c>
      <c r="C133" s="105" t="s">
        <v>206</v>
      </c>
      <c r="D133" s="16" t="s">
        <v>209</v>
      </c>
      <c r="E133" s="16"/>
      <c r="F133" s="17"/>
      <c r="G133" s="16" t="s">
        <v>106</v>
      </c>
      <c r="H133" s="16">
        <f>399.5*210</f>
        <v>83895</v>
      </c>
      <c r="I133" s="16" t="s">
        <v>35</v>
      </c>
      <c r="J133" s="105" t="s">
        <v>206</v>
      </c>
      <c r="K133" s="17">
        <v>125</v>
      </c>
      <c r="L133" s="17">
        <f>0.903036*8.3454</f>
        <v>7.5361966343999995</v>
      </c>
      <c r="M133" s="18">
        <f t="shared" si="46"/>
        <v>11132.273223478513</v>
      </c>
      <c r="N133" s="17">
        <v>13944.29</v>
      </c>
      <c r="O133" s="17">
        <f t="shared" si="47"/>
        <v>11132.273223478513</v>
      </c>
      <c r="P133" s="16" t="s">
        <v>208</v>
      </c>
      <c r="Q133" s="16" t="s">
        <v>37</v>
      </c>
      <c r="R133" s="23">
        <v>210</v>
      </c>
      <c r="S133" s="13" t="s">
        <v>103</v>
      </c>
      <c r="T133" s="17">
        <f t="shared" si="48"/>
        <v>66.401380952380961</v>
      </c>
      <c r="U133" s="17">
        <f t="shared" si="49"/>
        <v>53.0108248737072</v>
      </c>
      <c r="V133" s="16"/>
      <c r="W133" s="16"/>
      <c r="X133" s="16"/>
      <c r="Y133" s="16"/>
      <c r="Z133" s="16"/>
      <c r="AA133" s="16"/>
      <c r="AB133" s="16"/>
      <c r="AC133" s="16" t="s">
        <v>39</v>
      </c>
      <c r="AD133" s="19"/>
    </row>
    <row r="134" spans="2:30">
      <c r="B134" s="14">
        <v>45562</v>
      </c>
      <c r="C134" s="105" t="s">
        <v>206</v>
      </c>
      <c r="D134" s="16" t="s">
        <v>210</v>
      </c>
      <c r="E134" s="16"/>
      <c r="F134" s="17"/>
      <c r="G134" s="16" t="s">
        <v>106</v>
      </c>
      <c r="H134" s="16">
        <f>86*399.5</f>
        <v>34357</v>
      </c>
      <c r="I134" s="16" t="s">
        <v>35</v>
      </c>
      <c r="J134" s="105" t="s">
        <v>206</v>
      </c>
      <c r="K134" s="17">
        <v>124.99</v>
      </c>
      <c r="L134" s="17">
        <f>0.903344*8.3454</f>
        <v>7.5387670175999997</v>
      </c>
      <c r="M134" s="18">
        <f t="shared" si="46"/>
        <v>4557.3765470918752</v>
      </c>
      <c r="N134" s="17">
        <f t="shared" ref="N134:N136" si="50">(M134*(K134/100))</f>
        <v>5696.2649462101344</v>
      </c>
      <c r="O134" s="17">
        <f t="shared" si="47"/>
        <v>4557.3765470918752</v>
      </c>
      <c r="P134" s="16" t="s">
        <v>208</v>
      </c>
      <c r="Q134" s="16" t="s">
        <v>37</v>
      </c>
      <c r="R134" s="23">
        <v>86</v>
      </c>
      <c r="S134" s="13" t="s">
        <v>103</v>
      </c>
      <c r="T134" s="17">
        <f t="shared" si="48"/>
        <v>66.235638909420175</v>
      </c>
      <c r="U134" s="17">
        <f t="shared" si="49"/>
        <v>52.992750547579945</v>
      </c>
      <c r="V134" s="16"/>
      <c r="W134" s="16"/>
      <c r="X134" s="16"/>
      <c r="Y134" s="16"/>
      <c r="Z134" s="16"/>
      <c r="AA134" s="16"/>
      <c r="AB134" s="16"/>
      <c r="AC134" s="16" t="s">
        <v>39</v>
      </c>
      <c r="AD134" s="19"/>
    </row>
    <row r="135" spans="2:30">
      <c r="B135" s="14">
        <v>45565</v>
      </c>
      <c r="C135" s="105" t="s">
        <v>206</v>
      </c>
      <c r="D135" s="16" t="s">
        <v>211</v>
      </c>
      <c r="E135" s="16"/>
      <c r="F135" s="17"/>
      <c r="G135" s="16" t="s">
        <v>106</v>
      </c>
      <c r="H135" s="16">
        <v>80000</v>
      </c>
      <c r="I135" s="16" t="s">
        <v>35</v>
      </c>
      <c r="J135" s="105" t="s">
        <v>206</v>
      </c>
      <c r="K135" s="17">
        <v>125</v>
      </c>
      <c r="L135" s="17">
        <f>0.903104*8.3454</f>
        <v>7.5367641216000001</v>
      </c>
      <c r="M135" s="18">
        <f t="shared" si="46"/>
        <v>10614.634969233532</v>
      </c>
      <c r="N135" s="17">
        <v>13268.29</v>
      </c>
      <c r="O135" s="17">
        <v>10614.63</v>
      </c>
      <c r="P135" s="16" t="s">
        <v>208</v>
      </c>
      <c r="Q135" s="16" t="s">
        <v>37</v>
      </c>
      <c r="R135" s="23">
        <v>201</v>
      </c>
      <c r="S135" s="13" t="s">
        <v>103</v>
      </c>
      <c r="T135" s="17">
        <f t="shared" si="48"/>
        <v>66.011393034825872</v>
      </c>
      <c r="U135" s="17">
        <f t="shared" si="49"/>
        <v>52.809104477611939</v>
      </c>
      <c r="V135" s="16"/>
      <c r="W135" s="16"/>
      <c r="X135" s="16"/>
      <c r="Y135" s="16"/>
      <c r="Z135" s="16"/>
      <c r="AA135" s="16"/>
      <c r="AB135" s="16"/>
      <c r="AC135" s="16" t="s">
        <v>39</v>
      </c>
      <c r="AD135" s="19"/>
    </row>
    <row r="136" spans="2:30">
      <c r="B136" s="14">
        <v>45565</v>
      </c>
      <c r="C136" s="105" t="s">
        <v>206</v>
      </c>
      <c r="D136" s="16" t="s">
        <v>212</v>
      </c>
      <c r="E136" s="16"/>
      <c r="F136" s="17"/>
      <c r="G136" s="16"/>
      <c r="H136" s="16">
        <f>399.5*224</f>
        <v>89488</v>
      </c>
      <c r="I136" s="16" t="s">
        <v>35</v>
      </c>
      <c r="J136" s="105" t="s">
        <v>206</v>
      </c>
      <c r="K136" s="17">
        <v>125.03</v>
      </c>
      <c r="L136" s="17">
        <f>0.903308*8.3454</f>
        <v>7.5384665832</v>
      </c>
      <c r="M136" s="18">
        <f t="shared" si="46"/>
        <v>11870.849198884858</v>
      </c>
      <c r="N136" s="17">
        <f t="shared" si="50"/>
        <v>14842.122753365738</v>
      </c>
      <c r="O136" s="17">
        <f t="shared" si="47"/>
        <v>11870.849198884858</v>
      </c>
      <c r="P136" s="16" t="s">
        <v>208</v>
      </c>
      <c r="Q136" s="16" t="s">
        <v>37</v>
      </c>
      <c r="R136" s="23">
        <v>224</v>
      </c>
      <c r="S136" s="13" t="s">
        <v>103</v>
      </c>
      <c r="T136" s="17">
        <f t="shared" si="48"/>
        <v>66.259476577525618</v>
      </c>
      <c r="U136" s="17">
        <f t="shared" si="49"/>
        <v>52.994862495021685</v>
      </c>
      <c r="V136" s="16"/>
      <c r="W136" s="16"/>
      <c r="X136" s="16"/>
      <c r="Y136" s="16"/>
      <c r="Z136" s="16"/>
      <c r="AA136" s="16"/>
      <c r="AB136" s="16"/>
      <c r="AC136" s="16"/>
      <c r="AD136" s="19"/>
    </row>
    <row r="137" spans="2:30">
      <c r="B137" s="14">
        <v>45565</v>
      </c>
      <c r="C137" s="105" t="s">
        <v>206</v>
      </c>
      <c r="D137" s="16" t="s">
        <v>213</v>
      </c>
      <c r="E137" s="16"/>
      <c r="F137" s="17"/>
      <c r="G137" s="16"/>
      <c r="H137" s="16">
        <f>399.5*270</f>
        <v>107865</v>
      </c>
      <c r="I137" s="16" t="s">
        <v>35</v>
      </c>
      <c r="J137" s="105" t="s">
        <v>206</v>
      </c>
      <c r="K137" s="17">
        <v>125</v>
      </c>
      <c r="L137" s="17">
        <f>0.903235*8.3454</f>
        <v>7.5378573690000001</v>
      </c>
      <c r="M137" s="18">
        <f t="shared" si="46"/>
        <v>14309.769304418367</v>
      </c>
      <c r="N137" s="17">
        <v>17900.09</v>
      </c>
      <c r="O137" s="17">
        <f t="shared" si="47"/>
        <v>14309.769304418367</v>
      </c>
      <c r="P137" s="16" t="s">
        <v>208</v>
      </c>
      <c r="Q137" s="16" t="s">
        <v>37</v>
      </c>
      <c r="R137" s="23">
        <v>270</v>
      </c>
      <c r="S137" s="13" t="s">
        <v>103</v>
      </c>
      <c r="T137" s="17">
        <f t="shared" si="48"/>
        <v>66.296629629629635</v>
      </c>
      <c r="U137" s="17">
        <f t="shared" si="49"/>
        <v>52.999145571919875</v>
      </c>
      <c r="V137" s="16"/>
      <c r="W137" s="16"/>
      <c r="X137" s="16"/>
      <c r="Y137" s="16"/>
      <c r="Z137" s="16"/>
      <c r="AA137" s="16"/>
      <c r="AB137" s="16"/>
      <c r="AC137" s="16"/>
      <c r="AD137" s="19"/>
    </row>
    <row r="138" spans="2:30">
      <c r="B138" s="14">
        <v>45537</v>
      </c>
      <c r="C138" s="120" t="s">
        <v>138</v>
      </c>
      <c r="D138" s="121" t="s">
        <v>146</v>
      </c>
      <c r="E138" s="121"/>
      <c r="F138" s="122"/>
      <c r="G138" s="121" t="s">
        <v>106</v>
      </c>
      <c r="H138" s="122">
        <f>402.5*81</f>
        <v>32602.5</v>
      </c>
      <c r="I138" s="121" t="s">
        <v>35</v>
      </c>
      <c r="J138" s="120" t="s">
        <v>138</v>
      </c>
      <c r="K138" s="122">
        <v>119.93</v>
      </c>
      <c r="L138" s="122">
        <v>7.58</v>
      </c>
      <c r="M138" s="123">
        <f>(H138/L138)</f>
        <v>4301.1213720316618</v>
      </c>
      <c r="N138" s="122">
        <f t="shared" ref="N138:N144" si="51">(M138*(K138/100))</f>
        <v>5158.3348614775723</v>
      </c>
      <c r="O138" s="17">
        <f t="shared" ref="O138:O144" si="52">H138/L138</f>
        <v>4301.1213720316618</v>
      </c>
      <c r="P138" s="16" t="s">
        <v>36</v>
      </c>
      <c r="Q138" s="16" t="s">
        <v>37</v>
      </c>
      <c r="R138" s="16">
        <v>81</v>
      </c>
      <c r="S138" s="13" t="s">
        <v>103</v>
      </c>
      <c r="T138" s="17">
        <f t="shared" ref="T138:T144" si="53">(N138-V138)/R138</f>
        <v>63.683146437994722</v>
      </c>
      <c r="U138" s="17">
        <f t="shared" ref="U138:U144" si="54">(O138-V138)/R138</f>
        <v>53.10026385224274</v>
      </c>
      <c r="V138" s="16"/>
      <c r="W138" s="16"/>
      <c r="X138" s="16"/>
      <c r="Y138" s="16"/>
      <c r="Z138" s="16"/>
      <c r="AA138" s="16"/>
      <c r="AB138" s="16"/>
      <c r="AC138" s="16" t="s">
        <v>39</v>
      </c>
      <c r="AD138" s="19"/>
    </row>
    <row r="139" spans="2:30">
      <c r="B139" s="14">
        <v>45538</v>
      </c>
      <c r="C139" s="120" t="s">
        <v>214</v>
      </c>
      <c r="D139" s="121" t="s">
        <v>154</v>
      </c>
      <c r="E139" s="121"/>
      <c r="F139" s="122"/>
      <c r="G139" s="121" t="s">
        <v>106</v>
      </c>
      <c r="H139" s="122">
        <f>134*402.5</f>
        <v>53935</v>
      </c>
      <c r="I139" s="121" t="s">
        <v>35</v>
      </c>
      <c r="J139" s="120" t="s">
        <v>214</v>
      </c>
      <c r="K139" s="122">
        <v>119.96</v>
      </c>
      <c r="L139" s="122">
        <v>7.5860000000000003</v>
      </c>
      <c r="M139" s="123">
        <f t="shared" ref="M139:M144" si="55">(H139/L139)</f>
        <v>7109.807540205642</v>
      </c>
      <c r="N139" s="122">
        <f t="shared" si="51"/>
        <v>8528.9251252306876</v>
      </c>
      <c r="O139" s="17">
        <f t="shared" si="52"/>
        <v>7109.807540205642</v>
      </c>
      <c r="P139" s="16" t="s">
        <v>92</v>
      </c>
      <c r="Q139" s="16" t="s">
        <v>37</v>
      </c>
      <c r="R139" s="53">
        <v>134</v>
      </c>
      <c r="S139" s="13" t="s">
        <v>103</v>
      </c>
      <c r="T139" s="17">
        <f t="shared" si="53"/>
        <v>63.648694964408115</v>
      </c>
      <c r="U139" s="17">
        <f t="shared" si="54"/>
        <v>53.058265225415241</v>
      </c>
      <c r="V139" s="16"/>
      <c r="W139" s="16"/>
      <c r="X139" s="16"/>
      <c r="Y139" s="16"/>
      <c r="Z139" s="16"/>
      <c r="AA139" s="16"/>
      <c r="AB139" s="16"/>
      <c r="AC139" s="16" t="s">
        <v>39</v>
      </c>
      <c r="AD139" s="19"/>
    </row>
    <row r="140" spans="2:30">
      <c r="B140" s="137">
        <v>45540</v>
      </c>
      <c r="C140" s="219" t="s">
        <v>215</v>
      </c>
      <c r="D140" s="220" t="s">
        <v>160</v>
      </c>
      <c r="E140" s="220"/>
      <c r="F140" s="221"/>
      <c r="G140" s="220"/>
      <c r="H140" s="221">
        <f>402.5*37</f>
        <v>14892.5</v>
      </c>
      <c r="I140" s="220" t="s">
        <v>157</v>
      </c>
      <c r="J140" s="219" t="s">
        <v>216</v>
      </c>
      <c r="K140" s="221">
        <v>120.28</v>
      </c>
      <c r="L140" s="221">
        <f>0.908685*8.3454</f>
        <v>7.5833397989999991</v>
      </c>
      <c r="M140" s="222">
        <f t="shared" si="55"/>
        <v>1963.844479442138</v>
      </c>
      <c r="N140" s="221">
        <f t="shared" si="51"/>
        <v>2362.1121398730038</v>
      </c>
      <c r="O140" s="58">
        <f t="shared" si="52"/>
        <v>1963.844479442138</v>
      </c>
      <c r="P140" s="181" t="s">
        <v>36</v>
      </c>
      <c r="Q140" s="181" t="s">
        <v>37</v>
      </c>
      <c r="R140" s="223">
        <v>37</v>
      </c>
      <c r="S140" s="224" t="s">
        <v>103</v>
      </c>
      <c r="T140" s="58">
        <f t="shared" si="53"/>
        <v>63.840868645216318</v>
      </c>
      <c r="U140" s="58">
        <f t="shared" si="54"/>
        <v>53.076877822760487</v>
      </c>
      <c r="V140" s="16"/>
      <c r="W140" s="16"/>
      <c r="X140" s="16"/>
      <c r="Y140" s="16"/>
      <c r="Z140" s="16"/>
      <c r="AA140" s="16"/>
      <c r="AB140" s="16"/>
      <c r="AC140" s="16" t="s">
        <v>39</v>
      </c>
      <c r="AD140" s="19"/>
    </row>
    <row r="141" spans="2:30">
      <c r="B141" s="202">
        <v>45545</v>
      </c>
      <c r="C141" s="232" t="s">
        <v>167</v>
      </c>
      <c r="D141" s="203" t="s">
        <v>217</v>
      </c>
      <c r="E141" s="203"/>
      <c r="F141" s="204"/>
      <c r="G141" s="203"/>
      <c r="H141" s="204">
        <f>402.5*47</f>
        <v>18917.5</v>
      </c>
      <c r="I141" s="203" t="s">
        <v>35</v>
      </c>
      <c r="J141" s="203" t="s">
        <v>218</v>
      </c>
      <c r="K141" s="204">
        <v>120.21</v>
      </c>
      <c r="L141" s="204">
        <f>0.908761*8.3454</f>
        <v>7.5839740494000001</v>
      </c>
      <c r="M141" s="205">
        <f t="shared" si="55"/>
        <v>2494.4046322912513</v>
      </c>
      <c r="N141" s="204">
        <f t="shared" si="51"/>
        <v>2998.5238084773132</v>
      </c>
      <c r="O141" s="204">
        <f t="shared" si="52"/>
        <v>2494.4046322912513</v>
      </c>
      <c r="P141" s="203" t="s">
        <v>36</v>
      </c>
      <c r="Q141" s="203" t="s">
        <v>37</v>
      </c>
      <c r="R141" s="206">
        <v>47</v>
      </c>
      <c r="S141" s="207" t="s">
        <v>103</v>
      </c>
      <c r="T141" s="204">
        <f t="shared" si="53"/>
        <v>63.798378903772623</v>
      </c>
      <c r="U141" s="208">
        <f t="shared" si="54"/>
        <v>53.07243898492024</v>
      </c>
      <c r="V141" s="57"/>
      <c r="W141" s="16"/>
      <c r="X141" s="16"/>
      <c r="Y141" s="16"/>
      <c r="Z141" s="16"/>
      <c r="AA141" s="16"/>
      <c r="AB141" s="16"/>
      <c r="AC141" s="16" t="s">
        <v>39</v>
      </c>
      <c r="AD141" s="19" t="s">
        <v>219</v>
      </c>
    </row>
    <row r="142" spans="2:30">
      <c r="B142" s="209">
        <v>45546</v>
      </c>
      <c r="C142" s="233" t="s">
        <v>167</v>
      </c>
      <c r="D142" s="195" t="s">
        <v>220</v>
      </c>
      <c r="E142" s="195"/>
      <c r="F142" s="196"/>
      <c r="G142" s="195"/>
      <c r="H142" s="200">
        <f>402.5*114</f>
        <v>45885</v>
      </c>
      <c r="I142" s="195" t="s">
        <v>35</v>
      </c>
      <c r="J142" s="195" t="s">
        <v>218</v>
      </c>
      <c r="K142" s="196">
        <v>120.26</v>
      </c>
      <c r="L142" s="196">
        <f>0.908713*8.3454</f>
        <v>7.5835734701999993</v>
      </c>
      <c r="M142" s="197">
        <f t="shared" si="55"/>
        <v>6050.5776307577444</v>
      </c>
      <c r="N142" s="196">
        <f t="shared" si="51"/>
        <v>7276.4246587492644</v>
      </c>
      <c r="O142" s="196">
        <f t="shared" si="52"/>
        <v>6050.5776307577444</v>
      </c>
      <c r="P142" s="195" t="s">
        <v>36</v>
      </c>
      <c r="Q142" s="195" t="s">
        <v>37</v>
      </c>
      <c r="R142" s="198">
        <f>52+62</f>
        <v>114</v>
      </c>
      <c r="S142" s="199" t="s">
        <v>103</v>
      </c>
      <c r="T142" s="196">
        <f t="shared" si="53"/>
        <v>63.828286480256708</v>
      </c>
      <c r="U142" s="210">
        <f t="shared" si="54"/>
        <v>53.07524237506793</v>
      </c>
      <c r="V142" s="57"/>
      <c r="W142" s="16"/>
      <c r="X142" s="16"/>
      <c r="Y142" s="16"/>
      <c r="Z142" s="16"/>
      <c r="AA142" s="16"/>
      <c r="AB142" s="16"/>
      <c r="AC142" s="16" t="s">
        <v>39</v>
      </c>
      <c r="AD142" s="19" t="s">
        <v>219</v>
      </c>
    </row>
    <row r="143" spans="2:30">
      <c r="B143" s="209">
        <v>45551</v>
      </c>
      <c r="C143" s="234" t="s">
        <v>173</v>
      </c>
      <c r="D143" s="195" t="s">
        <v>221</v>
      </c>
      <c r="E143" s="195"/>
      <c r="F143" s="196"/>
      <c r="G143" s="195"/>
      <c r="H143" s="195">
        <f>48*402.5</f>
        <v>19320</v>
      </c>
      <c r="I143" s="195" t="s">
        <v>35</v>
      </c>
      <c r="J143" s="201" t="s">
        <v>32</v>
      </c>
      <c r="K143" s="196">
        <v>119.78</v>
      </c>
      <c r="L143" s="196">
        <f>8.3454*0.909251</f>
        <v>7.5880632953999996</v>
      </c>
      <c r="M143" s="197">
        <f t="shared" si="55"/>
        <v>2546.1042228933543</v>
      </c>
      <c r="N143" s="196">
        <f t="shared" si="51"/>
        <v>3049.7236381816597</v>
      </c>
      <c r="O143" s="196">
        <f t="shared" si="52"/>
        <v>2546.1042228933543</v>
      </c>
      <c r="P143" s="195" t="s">
        <v>92</v>
      </c>
      <c r="Q143" s="195" t="s">
        <v>37</v>
      </c>
      <c r="R143" s="198">
        <v>48</v>
      </c>
      <c r="S143" s="199" t="s">
        <v>103</v>
      </c>
      <c r="T143" s="196">
        <f t="shared" si="53"/>
        <v>63.535909128784574</v>
      </c>
      <c r="U143" s="210">
        <f t="shared" si="54"/>
        <v>53.043837976944879</v>
      </c>
      <c r="V143" s="57"/>
      <c r="W143" s="16"/>
      <c r="X143" s="16"/>
      <c r="Y143" s="16"/>
      <c r="Z143" s="16"/>
      <c r="AA143" s="16"/>
      <c r="AB143" s="16"/>
      <c r="AC143" s="16" t="s">
        <v>39</v>
      </c>
      <c r="AD143" s="19" t="s">
        <v>219</v>
      </c>
    </row>
    <row r="144" spans="2:30">
      <c r="B144" s="211">
        <v>45551</v>
      </c>
      <c r="C144" s="235" t="s">
        <v>173</v>
      </c>
      <c r="D144" s="213" t="s">
        <v>222</v>
      </c>
      <c r="E144" s="213"/>
      <c r="F144" s="214"/>
      <c r="G144" s="213"/>
      <c r="H144" s="213">
        <f>152*402.5</f>
        <v>61180</v>
      </c>
      <c r="I144" s="213" t="s">
        <v>35</v>
      </c>
      <c r="J144" s="212" t="s">
        <v>32</v>
      </c>
      <c r="K144" s="214">
        <v>120.24</v>
      </c>
      <c r="L144" s="214">
        <f>0.90873*8.3454</f>
        <v>7.5837153419999996</v>
      </c>
      <c r="M144" s="215">
        <f t="shared" si="55"/>
        <v>8067.2859200257681</v>
      </c>
      <c r="N144" s="214">
        <f t="shared" si="51"/>
        <v>9700.1045902389833</v>
      </c>
      <c r="O144" s="214">
        <f t="shared" si="52"/>
        <v>8067.2859200257681</v>
      </c>
      <c r="P144" s="213" t="s">
        <v>92</v>
      </c>
      <c r="Q144" s="213" t="s">
        <v>37</v>
      </c>
      <c r="R144" s="216">
        <v>152</v>
      </c>
      <c r="S144" s="217" t="s">
        <v>103</v>
      </c>
      <c r="T144" s="214">
        <f t="shared" si="53"/>
        <v>63.81647756736173</v>
      </c>
      <c r="U144" s="218">
        <f t="shared" si="54"/>
        <v>53.07424947385374</v>
      </c>
      <c r="V144" s="57"/>
      <c r="W144" s="16"/>
      <c r="X144" s="16"/>
      <c r="Y144" s="16"/>
      <c r="Z144" s="16"/>
      <c r="AA144" s="16"/>
      <c r="AB144" s="16"/>
      <c r="AC144" s="16" t="s">
        <v>39</v>
      </c>
      <c r="AD144" s="19" t="s">
        <v>219</v>
      </c>
    </row>
    <row r="145" spans="2:30">
      <c r="B145" s="138">
        <v>45551</v>
      </c>
      <c r="C145" s="225" t="s">
        <v>223</v>
      </c>
      <c r="D145" s="226" t="s">
        <v>224</v>
      </c>
      <c r="E145" s="226"/>
      <c r="F145" s="227"/>
      <c r="G145" s="226" t="s">
        <v>106</v>
      </c>
      <c r="H145" s="226">
        <f>222*402.5</f>
        <v>89355</v>
      </c>
      <c r="I145" s="226" t="s">
        <v>225</v>
      </c>
      <c r="J145" s="225" t="s">
        <v>223</v>
      </c>
      <c r="K145" s="227">
        <v>120.08</v>
      </c>
      <c r="L145" s="227">
        <f>0.908905*8.3454</f>
        <v>7.5851757869999998</v>
      </c>
      <c r="M145" s="228">
        <f t="shared" ref="M145:M206" si="56">(H145/L145)</f>
        <v>11780.214791217204</v>
      </c>
      <c r="N145" s="227">
        <f t="shared" ref="N145:N151" si="57">(M145*(K145/100))</f>
        <v>14145.681921293619</v>
      </c>
      <c r="O145" s="229">
        <f t="shared" ref="O145:O206" si="58">H145/L145</f>
        <v>11780.214791217204</v>
      </c>
      <c r="P145" s="59" t="s">
        <v>92</v>
      </c>
      <c r="Q145" s="59" t="s">
        <v>37</v>
      </c>
      <c r="R145" s="230">
        <v>222</v>
      </c>
      <c r="S145" s="231" t="s">
        <v>103</v>
      </c>
      <c r="T145" s="229">
        <f t="shared" ref="T145:T201" si="59">(N145-V145)/R145</f>
        <v>63.719287933755041</v>
      </c>
      <c r="U145" s="229">
        <f t="shared" ref="U145:U201" si="60">(O145-V145)/R145</f>
        <v>53.064030591068487</v>
      </c>
      <c r="V145" s="16"/>
      <c r="W145" s="16"/>
      <c r="X145" s="16"/>
      <c r="Y145" s="16"/>
      <c r="Z145" s="16"/>
      <c r="AA145" s="16"/>
      <c r="AB145" s="16"/>
      <c r="AC145" s="16" t="s">
        <v>39</v>
      </c>
      <c r="AD145" s="19"/>
    </row>
    <row r="146" spans="2:30">
      <c r="B146" s="14">
        <v>45551</v>
      </c>
      <c r="C146" s="124" t="s">
        <v>223</v>
      </c>
      <c r="D146" s="121" t="s">
        <v>226</v>
      </c>
      <c r="E146" s="121"/>
      <c r="F146" s="122"/>
      <c r="G146" s="121" t="s">
        <v>106</v>
      </c>
      <c r="H146" s="121">
        <f>(7.3*58.5)*4</f>
        <v>1708.2</v>
      </c>
      <c r="I146" s="121" t="s">
        <v>225</v>
      </c>
      <c r="J146" s="124" t="s">
        <v>223</v>
      </c>
      <c r="K146" s="125">
        <v>136.69999999999999</v>
      </c>
      <c r="L146" s="122">
        <f>7.3</f>
        <v>7.3</v>
      </c>
      <c r="M146" s="123">
        <f>(H146/L146)</f>
        <v>234</v>
      </c>
      <c r="N146" s="122">
        <f>(M146*(K146/100))</f>
        <v>319.87799999999999</v>
      </c>
      <c r="O146" s="17">
        <f>H146/L146</f>
        <v>234</v>
      </c>
      <c r="P146" s="16" t="s">
        <v>227</v>
      </c>
      <c r="Q146" s="102" t="s">
        <v>228</v>
      </c>
      <c r="R146" s="101">
        <v>4</v>
      </c>
      <c r="S146" s="13" t="s">
        <v>103</v>
      </c>
      <c r="T146" s="17">
        <f t="shared" ref="T146" si="61">(N146-V146)/R146</f>
        <v>79.969499999999996</v>
      </c>
      <c r="U146" s="17">
        <f t="shared" ref="U146" si="62">(O146-V146)/R146</f>
        <v>58.5</v>
      </c>
      <c r="V146" s="16"/>
      <c r="W146" s="16"/>
      <c r="X146" s="16"/>
      <c r="Y146" s="16"/>
      <c r="Z146" s="16"/>
      <c r="AA146" s="16"/>
      <c r="AB146" s="16"/>
      <c r="AC146" s="16" t="s">
        <v>39</v>
      </c>
      <c r="AD146" s="19"/>
    </row>
    <row r="147" spans="2:30">
      <c r="B147" s="14">
        <v>45552</v>
      </c>
      <c r="C147" s="124" t="s">
        <v>223</v>
      </c>
      <c r="D147" s="121" t="s">
        <v>183</v>
      </c>
      <c r="E147" s="121"/>
      <c r="F147" s="122"/>
      <c r="G147" s="121" t="s">
        <v>106</v>
      </c>
      <c r="H147" s="121">
        <f>402.5*62</f>
        <v>24955</v>
      </c>
      <c r="I147" s="121" t="s">
        <v>225</v>
      </c>
      <c r="J147" s="124" t="s">
        <v>223</v>
      </c>
      <c r="K147" s="122">
        <v>120.15</v>
      </c>
      <c r="L147" s="122">
        <f>0.908835*8.3454</f>
        <v>7.5845916089999994</v>
      </c>
      <c r="M147" s="123">
        <f>(H147/L147)</f>
        <v>3290.2232956601106</v>
      </c>
      <c r="N147" s="122">
        <f>(M147*(K147/100))</f>
        <v>3953.203289735623</v>
      </c>
      <c r="O147" s="17">
        <f>H147/L147</f>
        <v>3290.2232956601106</v>
      </c>
      <c r="P147" s="16" t="s">
        <v>92</v>
      </c>
      <c r="Q147" s="16" t="s">
        <v>37</v>
      </c>
      <c r="R147" s="23">
        <f>200-138</f>
        <v>62</v>
      </c>
      <c r="S147" s="13" t="s">
        <v>103</v>
      </c>
      <c r="T147" s="17">
        <f>(N147-V147)/R147</f>
        <v>63.761343382832628</v>
      </c>
      <c r="U147" s="17">
        <f>(O147-V147)/R147</f>
        <v>53.068117671937266</v>
      </c>
      <c r="V147" s="16"/>
      <c r="W147" s="16"/>
      <c r="X147" s="16"/>
      <c r="Y147" s="16"/>
      <c r="Z147" s="16"/>
      <c r="AA147" s="16"/>
      <c r="AB147" s="16"/>
      <c r="AC147" s="16" t="s">
        <v>39</v>
      </c>
      <c r="AD147" s="19"/>
    </row>
    <row r="148" spans="2:30">
      <c r="B148" s="14">
        <v>45554</v>
      </c>
      <c r="C148" s="124" t="s">
        <v>214</v>
      </c>
      <c r="D148" s="121" t="s">
        <v>190</v>
      </c>
      <c r="E148" s="121"/>
      <c r="F148" s="122"/>
      <c r="G148" s="121" t="s">
        <v>106</v>
      </c>
      <c r="H148" s="121">
        <f>103*402.5</f>
        <v>41457.5</v>
      </c>
      <c r="I148" s="121" t="s">
        <v>35</v>
      </c>
      <c r="J148" s="124" t="s">
        <v>214</v>
      </c>
      <c r="K148" s="122">
        <v>119.84</v>
      </c>
      <c r="L148" s="122">
        <f>0.909175*8.3454</f>
        <v>7.5874290449999995</v>
      </c>
      <c r="M148" s="123">
        <f t="shared" si="56"/>
        <v>5463.9720192599179</v>
      </c>
      <c r="N148" s="122">
        <f t="shared" si="57"/>
        <v>6548.024067881086</v>
      </c>
      <c r="O148" s="17">
        <f t="shared" si="58"/>
        <v>5463.9720192599179</v>
      </c>
      <c r="P148" s="16" t="s">
        <v>92</v>
      </c>
      <c r="Q148" s="16" t="s">
        <v>37</v>
      </c>
      <c r="R148" s="23">
        <v>103</v>
      </c>
      <c r="S148" s="13" t="s">
        <v>103</v>
      </c>
      <c r="T148" s="17">
        <f t="shared" si="59"/>
        <v>63.573049202728988</v>
      </c>
      <c r="U148" s="17">
        <f t="shared" si="60"/>
        <v>53.048272031649688</v>
      </c>
      <c r="V148" s="16"/>
      <c r="W148" s="16"/>
      <c r="X148" s="16"/>
      <c r="Y148" s="16"/>
      <c r="Z148" s="16"/>
      <c r="AA148" s="16"/>
      <c r="AB148" s="16"/>
      <c r="AC148" s="16" t="s">
        <v>39</v>
      </c>
      <c r="AD148" s="19"/>
    </row>
    <row r="149" spans="2:30">
      <c r="B149" s="14">
        <v>45558</v>
      </c>
      <c r="C149" s="124" t="s">
        <v>138</v>
      </c>
      <c r="D149" s="121" t="s">
        <v>229</v>
      </c>
      <c r="E149" s="121"/>
      <c r="F149" s="122"/>
      <c r="G149" s="121" t="s">
        <v>106</v>
      </c>
      <c r="H149" s="121">
        <f>402.5*108</f>
        <v>43470</v>
      </c>
      <c r="I149" s="121" t="s">
        <v>35</v>
      </c>
      <c r="J149" s="124" t="s">
        <v>138</v>
      </c>
      <c r="K149" s="122">
        <v>119.93</v>
      </c>
      <c r="L149" s="122">
        <f>0.909094*8.3454</f>
        <v>7.5867530675999992</v>
      </c>
      <c r="M149" s="123">
        <f t="shared" si="56"/>
        <v>5729.7238505946707</v>
      </c>
      <c r="N149" s="122">
        <f t="shared" si="57"/>
        <v>6871.6578140181891</v>
      </c>
      <c r="O149" s="17">
        <f t="shared" si="58"/>
        <v>5729.7238505946707</v>
      </c>
      <c r="P149" s="16" t="s">
        <v>36</v>
      </c>
      <c r="Q149" s="16" t="s">
        <v>37</v>
      </c>
      <c r="R149" s="23">
        <v>108</v>
      </c>
      <c r="S149" s="13" t="s">
        <v>103</v>
      </c>
      <c r="T149" s="17">
        <f t="shared" si="59"/>
        <v>63.626461240909158</v>
      </c>
      <c r="U149" s="17">
        <f t="shared" si="60"/>
        <v>53.052998616617323</v>
      </c>
      <c r="V149" s="16"/>
      <c r="W149" s="16"/>
      <c r="X149" s="16"/>
      <c r="Y149" s="16"/>
      <c r="Z149" s="16"/>
      <c r="AA149" s="16"/>
      <c r="AB149" s="16"/>
      <c r="AC149" s="16" t="s">
        <v>39</v>
      </c>
      <c r="AD149" s="19"/>
    </row>
    <row r="150" spans="2:30">
      <c r="B150" s="14">
        <v>45559</v>
      </c>
      <c r="C150" s="124" t="s">
        <v>138</v>
      </c>
      <c r="D150" s="121" t="s">
        <v>230</v>
      </c>
      <c r="E150" s="121"/>
      <c r="F150" s="122"/>
      <c r="G150" s="121" t="s">
        <v>106</v>
      </c>
      <c r="H150" s="121">
        <v>48400</v>
      </c>
      <c r="I150" s="121" t="s">
        <v>35</v>
      </c>
      <c r="J150" s="124" t="s">
        <v>138</v>
      </c>
      <c r="K150" s="122">
        <v>119.78</v>
      </c>
      <c r="L150" s="122">
        <f>0.909249*8.3454</f>
        <v>7.5880466045999997</v>
      </c>
      <c r="M150" s="123">
        <f t="shared" si="56"/>
        <v>6378.4531806458754</v>
      </c>
      <c r="N150" s="122">
        <f t="shared" si="57"/>
        <v>7640.1112197776292</v>
      </c>
      <c r="O150" s="17">
        <f t="shared" si="58"/>
        <v>6378.4531806458754</v>
      </c>
      <c r="P150" s="16" t="s">
        <v>92</v>
      </c>
      <c r="Q150" s="16" t="s">
        <v>37</v>
      </c>
      <c r="R150" s="23">
        <v>119</v>
      </c>
      <c r="S150" s="13" t="s">
        <v>103</v>
      </c>
      <c r="T150" s="17">
        <f t="shared" si="59"/>
        <v>64.202615292248979</v>
      </c>
      <c r="U150" s="17">
        <f t="shared" si="60"/>
        <v>53.600446896183826</v>
      </c>
      <c r="V150" s="16"/>
      <c r="W150" s="16"/>
      <c r="X150" s="16"/>
      <c r="Y150" s="16"/>
      <c r="Z150" s="16"/>
      <c r="AA150" s="16"/>
      <c r="AB150" s="16"/>
      <c r="AC150" s="16" t="s">
        <v>39</v>
      </c>
      <c r="AD150" s="19"/>
    </row>
    <row r="151" spans="2:30">
      <c r="B151" s="14">
        <v>45561</v>
      </c>
      <c r="C151" s="124" t="s">
        <v>231</v>
      </c>
      <c r="D151" s="126" t="s">
        <v>232</v>
      </c>
      <c r="E151" s="121"/>
      <c r="F151" s="122"/>
      <c r="G151" s="121" t="s">
        <v>106</v>
      </c>
      <c r="H151" s="121">
        <f>409*88</f>
        <v>35992</v>
      </c>
      <c r="I151" s="121" t="s">
        <v>225</v>
      </c>
      <c r="J151" s="124" t="s">
        <v>231</v>
      </c>
      <c r="K151" s="122">
        <v>110.09</v>
      </c>
      <c r="L151" s="122">
        <f>0.919751*8.3454</f>
        <v>7.6756899954</v>
      </c>
      <c r="M151" s="123">
        <f t="shared" si="56"/>
        <v>4689.0898435931904</v>
      </c>
      <c r="N151" s="122">
        <f t="shared" si="57"/>
        <v>5162.2190088117432</v>
      </c>
      <c r="O151" s="17">
        <f t="shared" si="58"/>
        <v>4689.0898435931904</v>
      </c>
      <c r="P151" s="16" t="s">
        <v>36</v>
      </c>
      <c r="Q151" s="16" t="s">
        <v>37</v>
      </c>
      <c r="R151" s="23">
        <v>88</v>
      </c>
      <c r="S151" s="13" t="s">
        <v>103</v>
      </c>
      <c r="T151" s="17">
        <f t="shared" si="59"/>
        <v>58.661579645587992</v>
      </c>
      <c r="U151" s="17">
        <f t="shared" si="60"/>
        <v>53.285111859013526</v>
      </c>
      <c r="V151" s="16"/>
      <c r="W151" s="16"/>
      <c r="X151" s="16"/>
      <c r="Y151" s="16"/>
      <c r="Z151" s="16"/>
      <c r="AA151" s="16"/>
      <c r="AB151" s="16"/>
      <c r="AC151" s="16" t="s">
        <v>39</v>
      </c>
      <c r="AD151" s="19"/>
    </row>
    <row r="152" spans="2:30">
      <c r="B152" s="14">
        <v>45561</v>
      </c>
      <c r="C152" s="124" t="s">
        <v>231</v>
      </c>
      <c r="D152" s="126" t="s">
        <v>181</v>
      </c>
      <c r="E152" s="121"/>
      <c r="F152" s="122"/>
      <c r="G152" s="121" t="s">
        <v>106</v>
      </c>
      <c r="H152" s="121">
        <f>409*174</f>
        <v>71166</v>
      </c>
      <c r="I152" s="121" t="s">
        <v>225</v>
      </c>
      <c r="J152" s="124" t="s">
        <v>231</v>
      </c>
      <c r="K152" s="122">
        <v>110.24</v>
      </c>
      <c r="L152" s="122">
        <f>0.9096*8.3454</f>
        <v>7.5909758399999996</v>
      </c>
      <c r="M152" s="123">
        <f t="shared" ref="M152" si="63">(H152/L152)</f>
        <v>9375.079238824188</v>
      </c>
      <c r="N152" s="122">
        <f t="shared" ref="N152" si="64">(M152*(K152/100))</f>
        <v>10335.087352879786</v>
      </c>
      <c r="O152" s="17">
        <f t="shared" ref="O152" si="65">H152/L152</f>
        <v>9375.079238824188</v>
      </c>
      <c r="P152" s="16" t="s">
        <v>36</v>
      </c>
      <c r="Q152" s="16" t="s">
        <v>37</v>
      </c>
      <c r="R152" s="23">
        <v>174</v>
      </c>
      <c r="S152" s="13" t="s">
        <v>103</v>
      </c>
      <c r="T152" s="17">
        <f t="shared" si="59"/>
        <v>59.397053752182678</v>
      </c>
      <c r="U152" s="17">
        <f t="shared" si="60"/>
        <v>53.879765740368896</v>
      </c>
      <c r="V152" s="16"/>
      <c r="W152" s="16"/>
      <c r="X152" s="16"/>
      <c r="Y152" s="16"/>
      <c r="Z152" s="16"/>
      <c r="AA152" s="16"/>
      <c r="AB152" s="16"/>
      <c r="AC152" s="16" t="s">
        <v>39</v>
      </c>
      <c r="AD152" s="19"/>
    </row>
    <row r="153" spans="2:30">
      <c r="B153" s="14">
        <v>45562</v>
      </c>
      <c r="C153" s="115" t="s">
        <v>233</v>
      </c>
      <c r="D153" s="116" t="s">
        <v>234</v>
      </c>
      <c r="E153" s="116"/>
      <c r="F153" s="117"/>
      <c r="G153" s="116"/>
      <c r="H153" s="116">
        <f>399.5*52</f>
        <v>20774</v>
      </c>
      <c r="I153" s="116" t="s">
        <v>35</v>
      </c>
      <c r="J153" s="115" t="s">
        <v>233</v>
      </c>
      <c r="K153" s="117">
        <v>125</v>
      </c>
      <c r="L153" s="117">
        <f>0.903196*8.3454</f>
        <v>7.5375318984000002</v>
      </c>
      <c r="M153" s="118">
        <f t="shared" ref="M153" si="66">(H153/L153)</f>
        <v>2756.0745718913267</v>
      </c>
      <c r="N153" s="117">
        <v>3448.4</v>
      </c>
      <c r="O153" s="17">
        <f t="shared" ref="O153" si="67">H153/L153</f>
        <v>2756.0745718913267</v>
      </c>
      <c r="P153" s="16" t="s">
        <v>36</v>
      </c>
      <c r="Q153" s="16" t="s">
        <v>37</v>
      </c>
      <c r="R153" s="23">
        <v>52</v>
      </c>
      <c r="S153" s="13" t="s">
        <v>103</v>
      </c>
      <c r="T153" s="17">
        <f t="shared" ref="T153" si="68">(N153-V153)/R153</f>
        <v>66.315384615384616</v>
      </c>
      <c r="U153" s="17">
        <f t="shared" ref="U153" si="69">(O153-V153)/R153</f>
        <v>53.001434074833206</v>
      </c>
      <c r="V153" s="16"/>
      <c r="W153" s="16"/>
      <c r="X153" s="16"/>
      <c r="Y153" s="16"/>
      <c r="Z153" s="16"/>
      <c r="AA153" s="16"/>
      <c r="AB153" s="16"/>
      <c r="AC153" s="16" t="s">
        <v>39</v>
      </c>
      <c r="AD153" s="19"/>
    </row>
    <row r="154" spans="2:30">
      <c r="B154" s="14">
        <v>45565</v>
      </c>
      <c r="C154" s="115" t="s">
        <v>233</v>
      </c>
      <c r="D154" s="116" t="s">
        <v>235</v>
      </c>
      <c r="E154" s="116"/>
      <c r="F154" s="117"/>
      <c r="G154" s="116"/>
      <c r="H154" s="116">
        <f>44*399.5</f>
        <v>17578</v>
      </c>
      <c r="I154" s="116" t="s">
        <v>35</v>
      </c>
      <c r="J154" s="115" t="s">
        <v>233</v>
      </c>
      <c r="K154" s="117">
        <v>125</v>
      </c>
      <c r="L154" s="117">
        <f>0.903235*8.3454</f>
        <v>7.5378573690000001</v>
      </c>
      <c r="M154" s="118">
        <f t="shared" ref="M154" si="70">(H154/L154)</f>
        <v>2331.9624051644746</v>
      </c>
      <c r="N154" s="117">
        <v>2917.05</v>
      </c>
      <c r="O154" s="17">
        <f t="shared" ref="O154" si="71">H154/L154</f>
        <v>2331.9624051644746</v>
      </c>
      <c r="P154" s="16" t="s">
        <v>36</v>
      </c>
      <c r="Q154" s="16" t="s">
        <v>37</v>
      </c>
      <c r="R154" s="23">
        <v>44</v>
      </c>
      <c r="S154" s="13" t="s">
        <v>103</v>
      </c>
      <c r="T154" s="17">
        <f t="shared" ref="T154" si="72">(N154-V154)/R154</f>
        <v>66.296590909090909</v>
      </c>
      <c r="U154" s="17">
        <f t="shared" ref="U154" si="73">(O154-V154)/R154</f>
        <v>52.999145571919875</v>
      </c>
      <c r="V154" s="16"/>
      <c r="W154" s="16"/>
      <c r="X154" s="16"/>
      <c r="Y154" s="16"/>
      <c r="Z154" s="16"/>
      <c r="AA154" s="16"/>
      <c r="AB154" s="16"/>
      <c r="AC154" s="16" t="s">
        <v>39</v>
      </c>
      <c r="AD154" s="19"/>
    </row>
    <row r="155" spans="2:30">
      <c r="B155" s="14">
        <v>45567</v>
      </c>
      <c r="C155" s="104" t="s">
        <v>206</v>
      </c>
      <c r="D155" s="105" t="s">
        <v>236</v>
      </c>
      <c r="E155" s="16"/>
      <c r="F155" s="17"/>
      <c r="G155" s="16"/>
      <c r="H155" s="16">
        <f>399.5*48</f>
        <v>19176</v>
      </c>
      <c r="I155" s="16" t="s">
        <v>35</v>
      </c>
      <c r="J155" s="105" t="s">
        <v>206</v>
      </c>
      <c r="K155" s="17">
        <v>125</v>
      </c>
      <c r="L155" s="17">
        <f>0.903235*8.3454</f>
        <v>7.5378573690000001</v>
      </c>
      <c r="M155" s="18">
        <f>(H155/L155)</f>
        <v>2543.9589874521544</v>
      </c>
      <c r="N155" s="17">
        <v>3182.24</v>
      </c>
      <c r="O155" s="17">
        <f>H155/L155</f>
        <v>2543.9589874521544</v>
      </c>
      <c r="P155" s="102" t="s">
        <v>208</v>
      </c>
      <c r="Q155" s="16" t="s">
        <v>37</v>
      </c>
      <c r="R155" s="23">
        <v>48</v>
      </c>
      <c r="S155" s="13" t="s">
        <v>103</v>
      </c>
      <c r="T155" s="17">
        <f t="shared" ref="T155" si="74">(N155-V155)/R155</f>
        <v>66.296666666666667</v>
      </c>
      <c r="U155" s="17">
        <f t="shared" ref="U155" si="75">(O155-V155)/R155</f>
        <v>52.999145571919883</v>
      </c>
      <c r="V155" s="16"/>
      <c r="W155" s="16"/>
      <c r="X155" s="16"/>
      <c r="Y155" s="16"/>
      <c r="Z155" s="16"/>
      <c r="AA155" s="16"/>
      <c r="AB155" s="16"/>
      <c r="AC155" s="16"/>
      <c r="AD155" s="19"/>
    </row>
    <row r="156" spans="2:30">
      <c r="B156" s="108">
        <v>45566</v>
      </c>
      <c r="C156" s="109" t="s">
        <v>233</v>
      </c>
      <c r="D156" s="110" t="s">
        <v>237</v>
      </c>
      <c r="E156" s="111"/>
      <c r="F156" s="112"/>
      <c r="G156" s="111"/>
      <c r="H156" s="111">
        <f>399.5*175</f>
        <v>69912.5</v>
      </c>
      <c r="I156" s="111" t="s">
        <v>35</v>
      </c>
      <c r="J156" s="109" t="s">
        <v>233</v>
      </c>
      <c r="K156" s="112">
        <v>125</v>
      </c>
      <c r="L156" s="112">
        <f>0.903235*8.3454</f>
        <v>7.5378573690000001</v>
      </c>
      <c r="M156" s="113">
        <f t="shared" ref="M156:M157" si="76">(H156/L156)</f>
        <v>9274.8504750859793</v>
      </c>
      <c r="N156" s="112">
        <v>11601.91</v>
      </c>
      <c r="O156" s="112">
        <f t="shared" ref="O156:O157" si="77">H156/L156</f>
        <v>9274.8504750859793</v>
      </c>
      <c r="P156" s="111" t="s">
        <v>36</v>
      </c>
      <c r="Q156" s="111" t="s">
        <v>37</v>
      </c>
      <c r="R156" s="114">
        <v>177</v>
      </c>
      <c r="S156" s="67" t="s">
        <v>103</v>
      </c>
      <c r="T156" s="112">
        <f t="shared" ref="T156:T157" si="78">(N156-V156)/R156</f>
        <v>65.547514124293784</v>
      </c>
      <c r="U156" s="112">
        <f t="shared" ref="U156:U157" si="79">(O156-V156)/R156</f>
        <v>52.40028516997728</v>
      </c>
      <c r="V156" s="16"/>
      <c r="W156" s="16"/>
      <c r="X156" s="16"/>
      <c r="Y156" s="16"/>
      <c r="Z156" s="16"/>
      <c r="AA156" s="16"/>
      <c r="AB156" s="16"/>
      <c r="AC156" s="16"/>
      <c r="AD156" s="19"/>
    </row>
    <row r="157" spans="2:30">
      <c r="B157" s="108">
        <v>45567</v>
      </c>
      <c r="C157" s="109" t="s">
        <v>233</v>
      </c>
      <c r="D157" s="111" t="s">
        <v>238</v>
      </c>
      <c r="E157" s="111"/>
      <c r="F157" s="112"/>
      <c r="G157" s="111"/>
      <c r="H157" s="111">
        <f>399.5*32</f>
        <v>12784</v>
      </c>
      <c r="I157" s="111" t="s">
        <v>35</v>
      </c>
      <c r="J157" s="109" t="s">
        <v>233</v>
      </c>
      <c r="K157" s="112">
        <v>125</v>
      </c>
      <c r="L157" s="112">
        <f>0.903235*8.3454</f>
        <v>7.5378573690000001</v>
      </c>
      <c r="M157" s="113">
        <f t="shared" si="76"/>
        <v>1695.9726583014362</v>
      </c>
      <c r="N157" s="112">
        <v>2121.4899999999998</v>
      </c>
      <c r="O157" s="112">
        <f t="shared" si="77"/>
        <v>1695.9726583014362</v>
      </c>
      <c r="P157" s="111" t="s">
        <v>36</v>
      </c>
      <c r="Q157" s="111" t="s">
        <v>37</v>
      </c>
      <c r="R157" s="114">
        <v>32</v>
      </c>
      <c r="S157" s="67" t="s">
        <v>103</v>
      </c>
      <c r="T157" s="112">
        <f t="shared" si="78"/>
        <v>66.296562499999993</v>
      </c>
      <c r="U157" s="112">
        <f t="shared" si="79"/>
        <v>52.999145571919883</v>
      </c>
      <c r="V157" s="16"/>
      <c r="W157" s="16"/>
      <c r="X157" s="16"/>
      <c r="Y157" s="16"/>
      <c r="Z157" s="16"/>
      <c r="AA157" s="16"/>
      <c r="AB157" s="16"/>
      <c r="AC157" s="16"/>
      <c r="AD157" s="19"/>
    </row>
    <row r="158" spans="2:30">
      <c r="B158" s="14">
        <v>45566</v>
      </c>
      <c r="C158" s="20" t="s">
        <v>239</v>
      </c>
      <c r="D158" s="20" t="s">
        <v>240</v>
      </c>
      <c r="E158" s="16"/>
      <c r="F158" s="17"/>
      <c r="G158" s="16"/>
      <c r="H158" s="16">
        <v>54450</v>
      </c>
      <c r="I158" s="16" t="s">
        <v>35</v>
      </c>
      <c r="J158" s="20" t="s">
        <v>239</v>
      </c>
      <c r="K158" s="17">
        <v>115.03</v>
      </c>
      <c r="L158" s="17">
        <f>0.914473*8.3454</f>
        <v>7.6316429741999992</v>
      </c>
      <c r="M158" s="18">
        <f t="shared" ref="M158:M160" si="80">(H158/L158)</f>
        <v>7134.767727483717</v>
      </c>
      <c r="N158" s="17">
        <f t="shared" ref="N158:N160" si="81">(M158*(K158/100))</f>
        <v>8207.1233169245206</v>
      </c>
      <c r="O158" s="17">
        <f t="shared" ref="O158:O160" si="82">H158/L158</f>
        <v>7134.767727483717</v>
      </c>
      <c r="P158" s="16" t="s">
        <v>36</v>
      </c>
      <c r="Q158" s="16" t="s">
        <v>37</v>
      </c>
      <c r="R158" s="23">
        <v>133</v>
      </c>
      <c r="S158" s="13" t="s">
        <v>103</v>
      </c>
      <c r="T158" s="17">
        <f t="shared" ref="T158:T160" si="83">(N158-V158)/R158</f>
        <v>61.70769411221444</v>
      </c>
      <c r="U158" s="17">
        <f t="shared" ref="U158:U160" si="84">(O158-V158)/R158</f>
        <v>53.644870131456521</v>
      </c>
      <c r="V158" s="16"/>
      <c r="W158" s="16"/>
      <c r="X158" s="16"/>
      <c r="Y158" s="16"/>
      <c r="Z158" s="16"/>
      <c r="AA158" s="16"/>
      <c r="AB158" s="16"/>
      <c r="AC158" s="16" t="s">
        <v>39</v>
      </c>
      <c r="AD158" s="19"/>
    </row>
    <row r="159" spans="2:30">
      <c r="B159" s="14">
        <v>45567</v>
      </c>
      <c r="C159" s="20" t="s">
        <v>239</v>
      </c>
      <c r="D159" s="16" t="s">
        <v>241</v>
      </c>
      <c r="E159" s="16"/>
      <c r="F159" s="17"/>
      <c r="G159" s="16"/>
      <c r="H159" s="16">
        <f>409*346</f>
        <v>141514</v>
      </c>
      <c r="I159" s="16" t="s">
        <v>35</v>
      </c>
      <c r="J159" s="20" t="s">
        <v>239</v>
      </c>
      <c r="K159" s="17">
        <v>115.26</v>
      </c>
      <c r="L159" s="17">
        <f>0.914225*8.3454</f>
        <v>7.6295733149999991</v>
      </c>
      <c r="M159" s="18">
        <f t="shared" si="80"/>
        <v>18548.088360561225</v>
      </c>
      <c r="N159" s="17">
        <f t="shared" si="81"/>
        <v>21378.52664438287</v>
      </c>
      <c r="O159" s="17">
        <f t="shared" si="82"/>
        <v>18548.088360561225</v>
      </c>
      <c r="P159" s="16" t="s">
        <v>36</v>
      </c>
      <c r="Q159" s="16" t="s">
        <v>37</v>
      </c>
      <c r="R159" s="23">
        <v>346</v>
      </c>
      <c r="S159" s="13" t="s">
        <v>103</v>
      </c>
      <c r="T159" s="17">
        <f t="shared" si="83"/>
        <v>61.787649261222164</v>
      </c>
      <c r="U159" s="17">
        <f t="shared" si="84"/>
        <v>53.607191793529552</v>
      </c>
      <c r="V159" s="16"/>
      <c r="W159" s="16"/>
      <c r="X159" s="16"/>
      <c r="Y159" s="16"/>
      <c r="Z159" s="16"/>
      <c r="AA159" s="16"/>
      <c r="AB159" s="16"/>
      <c r="AC159" s="16" t="s">
        <v>39</v>
      </c>
      <c r="AD159" s="19"/>
    </row>
    <row r="160" spans="2:30">
      <c r="B160" s="14">
        <v>45567</v>
      </c>
      <c r="C160" s="20" t="s">
        <v>239</v>
      </c>
      <c r="D160" s="16" t="s">
        <v>242</v>
      </c>
      <c r="E160" s="16"/>
      <c r="F160" s="17"/>
      <c r="G160" s="16"/>
      <c r="H160" s="107">
        <f>81070-(157*399.359606)</f>
        <v>18370.541858000004</v>
      </c>
      <c r="I160" s="16" t="s">
        <v>35</v>
      </c>
      <c r="J160" s="20" t="s">
        <v>239</v>
      </c>
      <c r="K160" s="17">
        <v>114.9</v>
      </c>
      <c r="L160" s="17">
        <f>0.914619*8.3454</f>
        <v>7.6328614025999997</v>
      </c>
      <c r="M160" s="18">
        <f t="shared" si="80"/>
        <v>2406.7700026286871</v>
      </c>
      <c r="N160" s="17">
        <f t="shared" si="81"/>
        <v>2765.3787330203613</v>
      </c>
      <c r="O160" s="17">
        <f t="shared" si="82"/>
        <v>2406.7700026286871</v>
      </c>
      <c r="P160" s="16" t="s">
        <v>36</v>
      </c>
      <c r="Q160" s="16" t="s">
        <v>37</v>
      </c>
      <c r="R160" s="23">
        <v>46</v>
      </c>
      <c r="S160" s="13" t="s">
        <v>103</v>
      </c>
      <c r="T160" s="17">
        <f t="shared" si="83"/>
        <v>60.116928978703505</v>
      </c>
      <c r="U160" s="17">
        <f t="shared" si="84"/>
        <v>52.32108701366711</v>
      </c>
      <c r="V160" s="16"/>
      <c r="W160" s="16"/>
      <c r="X160" s="16"/>
      <c r="Y160" s="16"/>
      <c r="Z160" s="16"/>
      <c r="AA160" s="16"/>
      <c r="AB160" s="16"/>
      <c r="AC160" s="16" t="s">
        <v>39</v>
      </c>
      <c r="AD160" s="19"/>
    </row>
    <row r="161" spans="2:30">
      <c r="B161" s="14">
        <v>45566</v>
      </c>
      <c r="C161" s="20" t="s">
        <v>243</v>
      </c>
      <c r="D161" s="20" t="s">
        <v>244</v>
      </c>
      <c r="E161" s="16"/>
      <c r="F161" s="17"/>
      <c r="G161" s="16" t="s">
        <v>106</v>
      </c>
      <c r="H161" s="16">
        <f>402.5*165</f>
        <v>66412.5</v>
      </c>
      <c r="I161" s="16" t="s">
        <v>137</v>
      </c>
      <c r="J161" s="20" t="s">
        <v>243</v>
      </c>
      <c r="K161" s="17">
        <v>120.07</v>
      </c>
      <c r="L161" s="17">
        <f>0.908925*8.3454</f>
        <v>7.5853426949999996</v>
      </c>
      <c r="M161" s="18">
        <f>(H161/L161)</f>
        <v>8755.3723899352444</v>
      </c>
      <c r="N161" s="17">
        <f>(M161*(K161/100))</f>
        <v>10512.575628595247</v>
      </c>
      <c r="O161" s="17">
        <f>H161/L161</f>
        <v>8755.3723899352444</v>
      </c>
      <c r="P161" s="16" t="s">
        <v>36</v>
      </c>
      <c r="Q161" s="16" t="s">
        <v>37</v>
      </c>
      <c r="R161" s="23">
        <v>165</v>
      </c>
      <c r="S161" s="13" t="s">
        <v>103</v>
      </c>
      <c r="T161" s="17">
        <f>(N161-V161)/R161</f>
        <v>63.712579567243921</v>
      </c>
      <c r="U161" s="17">
        <f>(O161-V161)/R161</f>
        <v>53.062862969304511</v>
      </c>
      <c r="V161" s="16"/>
      <c r="W161" s="16"/>
      <c r="X161" s="16"/>
      <c r="Y161" s="16"/>
      <c r="Z161" s="16"/>
      <c r="AA161" s="16"/>
      <c r="AB161" s="16"/>
      <c r="AC161" s="16" t="s">
        <v>39</v>
      </c>
      <c r="AD161" s="19"/>
    </row>
    <row r="162" spans="2:30">
      <c r="B162" s="14">
        <v>45568</v>
      </c>
      <c r="C162" s="20" t="s">
        <v>243</v>
      </c>
      <c r="D162" s="16" t="s">
        <v>245</v>
      </c>
      <c r="E162" s="16"/>
      <c r="F162" s="17"/>
      <c r="G162" s="16" t="s">
        <v>106</v>
      </c>
      <c r="H162" s="16">
        <f>402.5*222</f>
        <v>89355</v>
      </c>
      <c r="I162" s="16" t="s">
        <v>137</v>
      </c>
      <c r="J162" s="20" t="s">
        <v>243</v>
      </c>
      <c r="K162" s="17">
        <v>119.77</v>
      </c>
      <c r="L162" s="17">
        <f>0.90926*8.3454</f>
        <v>7.5881384039999995</v>
      </c>
      <c r="M162" s="18">
        <f>(H162/L162)</f>
        <v>11775.615472814457</v>
      </c>
      <c r="N162" s="17">
        <f>(M162*(K162/100))</f>
        <v>14103.654651789875</v>
      </c>
      <c r="O162" s="17">
        <f>H162/L162</f>
        <v>11775.615472814457</v>
      </c>
      <c r="P162" s="16" t="s">
        <v>92</v>
      </c>
      <c r="Q162" s="16" t="s">
        <v>37</v>
      </c>
      <c r="R162" s="23">
        <v>222</v>
      </c>
      <c r="S162" s="13" t="s">
        <v>103</v>
      </c>
      <c r="T162" s="17">
        <f>(N162-V162)/R162</f>
        <v>63.529975908963401</v>
      </c>
      <c r="U162" s="17">
        <f>(O162-V162)/R162</f>
        <v>53.043312940605666</v>
      </c>
      <c r="V162" s="16"/>
      <c r="W162" s="16"/>
      <c r="X162" s="16"/>
      <c r="Y162" s="16"/>
      <c r="Z162" s="16"/>
      <c r="AA162" s="16"/>
      <c r="AB162" s="16"/>
      <c r="AC162" s="16" t="s">
        <v>39</v>
      </c>
      <c r="AD162" s="19"/>
    </row>
    <row r="163" spans="2:30">
      <c r="B163" s="14">
        <v>45568</v>
      </c>
      <c r="C163" s="20" t="s">
        <v>243</v>
      </c>
      <c r="D163" s="16" t="s">
        <v>246</v>
      </c>
      <c r="E163" s="16"/>
      <c r="F163" s="17"/>
      <c r="G163" s="16" t="s">
        <v>106</v>
      </c>
      <c r="H163" s="16">
        <v>79295</v>
      </c>
      <c r="I163" s="16" t="s">
        <v>137</v>
      </c>
      <c r="J163" s="20" t="s">
        <v>243</v>
      </c>
      <c r="K163" s="17">
        <v>119.77</v>
      </c>
      <c r="L163" s="17">
        <f>0.90926*8.3454</f>
        <v>7.5881384039999995</v>
      </c>
      <c r="M163" s="18">
        <f>(H163/L163)</f>
        <v>10449.862110870376</v>
      </c>
      <c r="N163" s="17">
        <f>(M163*(K163/100))</f>
        <v>12515.799850189449</v>
      </c>
      <c r="O163" s="17">
        <f>H163/L163</f>
        <v>10449.862110870376</v>
      </c>
      <c r="P163" s="16" t="s">
        <v>92</v>
      </c>
      <c r="Q163" s="16" t="s">
        <v>37</v>
      </c>
      <c r="R163" s="23">
        <v>194</v>
      </c>
      <c r="S163" s="13" t="s">
        <v>103</v>
      </c>
      <c r="T163" s="17">
        <f>(N163-V163)/R163</f>
        <v>64.514432217471381</v>
      </c>
      <c r="U163" s="17">
        <f>(O163-V163)/R163</f>
        <v>53.865268612733892</v>
      </c>
      <c r="V163" s="16"/>
      <c r="W163" s="16"/>
      <c r="X163" s="16"/>
      <c r="Y163" s="16"/>
      <c r="Z163" s="16"/>
      <c r="AA163" s="16"/>
      <c r="AB163" s="16"/>
      <c r="AC163" s="16" t="s">
        <v>39</v>
      </c>
      <c r="AD163" s="19"/>
    </row>
    <row r="164" spans="2:30">
      <c r="B164" s="14">
        <v>45568</v>
      </c>
      <c r="C164" s="20" t="s">
        <v>243</v>
      </c>
      <c r="D164" s="16" t="s">
        <v>247</v>
      </c>
      <c r="E164" s="16"/>
      <c r="F164" s="17"/>
      <c r="G164" s="16" t="s">
        <v>106</v>
      </c>
      <c r="H164" s="16">
        <f>402.5*306</f>
        <v>123165</v>
      </c>
      <c r="I164" s="16" t="s">
        <v>137</v>
      </c>
      <c r="J164" s="20" t="s">
        <v>243</v>
      </c>
      <c r="K164" s="17">
        <v>120.19</v>
      </c>
      <c r="L164" s="17">
        <f>0.9087971*8.3454</f>
        <v>7.5842753183399996</v>
      </c>
      <c r="M164" s="18">
        <f>(H164/L164)</f>
        <v>16239.521223889011</v>
      </c>
      <c r="N164" s="17">
        <f>(M164*(K164/100))</f>
        <v>19518.280558992203</v>
      </c>
      <c r="O164" s="17">
        <f>H164/L164</f>
        <v>16239.521223889011</v>
      </c>
      <c r="P164" s="16" t="s">
        <v>92</v>
      </c>
      <c r="Q164" s="16" t="s">
        <v>37</v>
      </c>
      <c r="R164" s="53">
        <v>306</v>
      </c>
      <c r="S164" s="102" t="s">
        <v>103</v>
      </c>
      <c r="T164" s="17">
        <f>(N164-V164)/R164</f>
        <v>63.785230584941836</v>
      </c>
      <c r="U164" s="17">
        <f>(O164-V164)/R164</f>
        <v>53.070330797022912</v>
      </c>
      <c r="V164" s="16"/>
      <c r="W164" s="16"/>
      <c r="X164" s="16"/>
      <c r="Y164" s="16"/>
      <c r="Z164" s="16"/>
      <c r="AA164" s="16"/>
      <c r="AB164" s="16"/>
      <c r="AC164" s="16" t="s">
        <v>39</v>
      </c>
      <c r="AD164" s="19"/>
    </row>
    <row r="165" spans="2:30">
      <c r="B165" s="14">
        <v>45569</v>
      </c>
      <c r="C165" s="20" t="s">
        <v>243</v>
      </c>
      <c r="D165" s="16" t="s">
        <v>248</v>
      </c>
      <c r="E165" s="16"/>
      <c r="F165" s="17"/>
      <c r="G165" s="16"/>
      <c r="H165" s="16">
        <f>402.5*220</f>
        <v>88550</v>
      </c>
      <c r="I165" s="16" t="s">
        <v>137</v>
      </c>
      <c r="J165" s="20" t="s">
        <v>243</v>
      </c>
      <c r="K165" s="17">
        <v>120.19</v>
      </c>
      <c r="L165" s="17">
        <f>0.908791*8.3454</f>
        <v>7.5842244114000001</v>
      </c>
      <c r="M165" s="18">
        <f>(H165/L165)</f>
        <v>11675.551143621056</v>
      </c>
      <c r="N165" s="17">
        <f>(M165*(K165/100))</f>
        <v>14032.844919518147</v>
      </c>
      <c r="O165" s="17">
        <f>H165/L165</f>
        <v>11675.551143621056</v>
      </c>
      <c r="P165" s="16" t="s">
        <v>92</v>
      </c>
      <c r="Q165" s="16" t="s">
        <v>37</v>
      </c>
      <c r="R165" s="23">
        <f>207+13</f>
        <v>220</v>
      </c>
      <c r="S165" s="13" t="s">
        <v>103</v>
      </c>
      <c r="T165" s="17">
        <f>(N165-V165)/R165</f>
        <v>63.785658725082492</v>
      </c>
      <c r="U165" s="17">
        <f>(O165-V165)/R165</f>
        <v>53.070687016459345</v>
      </c>
      <c r="V165" s="16"/>
      <c r="W165" s="16"/>
      <c r="X165" s="16"/>
      <c r="Y165" s="16"/>
      <c r="Z165" s="16"/>
      <c r="AA165" s="16"/>
      <c r="AB165" s="16"/>
      <c r="AC165" s="16"/>
      <c r="AD165" s="19"/>
    </row>
    <row r="166" spans="2:30">
      <c r="B166" s="149">
        <v>45569</v>
      </c>
      <c r="C166" s="142" t="s">
        <v>249</v>
      </c>
      <c r="D166" s="149" t="s">
        <v>250</v>
      </c>
      <c r="E166" s="149"/>
      <c r="F166" s="149"/>
      <c r="G166" s="149"/>
      <c r="H166" s="150">
        <f>402.5*260</f>
        <v>104650</v>
      </c>
      <c r="I166" s="149" t="s">
        <v>137</v>
      </c>
      <c r="J166" s="142" t="s">
        <v>251</v>
      </c>
      <c r="K166" s="150">
        <v>119.78</v>
      </c>
      <c r="L166" s="151">
        <f>0.909246*8.3454</f>
        <v>7.5880215683999994</v>
      </c>
      <c r="M166" s="151">
        <f>(H166/L166)</f>
        <v>13791.473713755715</v>
      </c>
      <c r="N166" s="151">
        <f>(M166*(K166/100))</f>
        <v>16519.427214336596</v>
      </c>
      <c r="O166" s="151">
        <f>H166/L166</f>
        <v>13791.473713755715</v>
      </c>
      <c r="P166" s="152" t="s">
        <v>252</v>
      </c>
      <c r="Q166" s="150" t="s">
        <v>37</v>
      </c>
      <c r="R166" s="153">
        <v>260</v>
      </c>
      <c r="S166" s="148" t="s">
        <v>103</v>
      </c>
      <c r="T166" s="151">
        <f>(N166-V166)/R166</f>
        <v>63.536258516679219</v>
      </c>
      <c r="U166" s="151">
        <f>(O166-V166)/R166</f>
        <v>53.044129668291212</v>
      </c>
      <c r="V166" s="149"/>
      <c r="W166" s="149"/>
      <c r="X166" s="149"/>
      <c r="Y166" s="149"/>
      <c r="Z166" s="149"/>
      <c r="AA166" s="149"/>
      <c r="AB166" s="149"/>
      <c r="AC166" s="150" t="s">
        <v>39</v>
      </c>
      <c r="AD166" s="14"/>
    </row>
    <row r="167" spans="2:30">
      <c r="B167" s="108">
        <v>45569</v>
      </c>
      <c r="C167" s="142" t="s">
        <v>145</v>
      </c>
      <c r="D167" s="108" t="s">
        <v>253</v>
      </c>
      <c r="E167" s="108"/>
      <c r="F167" s="108"/>
      <c r="G167" s="108"/>
      <c r="H167" s="111">
        <f>402.5*1</f>
        <v>402.5</v>
      </c>
      <c r="I167" s="149" t="s">
        <v>137</v>
      </c>
      <c r="J167" s="142" t="s">
        <v>145</v>
      </c>
      <c r="K167" s="112">
        <v>119.78</v>
      </c>
      <c r="L167" s="112">
        <f>0.909246*8.3454</f>
        <v>7.5880215683999994</v>
      </c>
      <c r="M167" s="112">
        <f>(H167/L167)</f>
        <v>53.044129668291212</v>
      </c>
      <c r="N167" s="112">
        <f>(M167*(K167/100))</f>
        <v>63.536258516679212</v>
      </c>
      <c r="O167" s="112">
        <f>H167/L167</f>
        <v>53.044129668291212</v>
      </c>
      <c r="P167" s="111" t="s">
        <v>92</v>
      </c>
      <c r="Q167" s="111" t="s">
        <v>37</v>
      </c>
      <c r="R167" s="114">
        <v>1</v>
      </c>
      <c r="S167" s="67" t="s">
        <v>103</v>
      </c>
      <c r="T167" s="112">
        <f>(N167-V167)/R167</f>
        <v>63.536258516679212</v>
      </c>
      <c r="U167" s="112">
        <f>(O167-V167)/R167</f>
        <v>53.044129668291212</v>
      </c>
      <c r="V167" s="14"/>
      <c r="W167" s="14"/>
      <c r="X167" s="14"/>
      <c r="Y167" s="14"/>
      <c r="Z167" s="14"/>
      <c r="AA167" s="14"/>
      <c r="AB167" s="14"/>
      <c r="AC167" s="111" t="s">
        <v>39</v>
      </c>
      <c r="AD167" s="14"/>
    </row>
    <row r="168" spans="2:30">
      <c r="B168" s="14">
        <v>45572</v>
      </c>
      <c r="C168" s="105" t="s">
        <v>254</v>
      </c>
      <c r="D168" s="16" t="s">
        <v>255</v>
      </c>
      <c r="E168" s="16"/>
      <c r="F168" s="17"/>
      <c r="G168" s="16"/>
      <c r="H168" s="16">
        <v>80380</v>
      </c>
      <c r="I168" s="16" t="s">
        <v>157</v>
      </c>
      <c r="J168" s="105" t="s">
        <v>254</v>
      </c>
      <c r="K168" s="17">
        <v>108.01</v>
      </c>
      <c r="L168" s="17">
        <f>8.3454*0.921911</f>
        <v>7.6937160593999998</v>
      </c>
      <c r="M168" s="18">
        <f t="shared" ref="M168" si="85">(H168/L168)</f>
        <v>10447.487193369143</v>
      </c>
      <c r="N168" s="17">
        <f t="shared" ref="N168" si="86">(M168*(K168/100))</f>
        <v>11284.330917558013</v>
      </c>
      <c r="O168" s="17">
        <f t="shared" ref="O168" si="87">H168/L168</f>
        <v>10447.487193369143</v>
      </c>
      <c r="P168" s="119" t="s">
        <v>256</v>
      </c>
      <c r="Q168" s="16" t="s">
        <v>37</v>
      </c>
      <c r="R168" s="23">
        <f>186+10</f>
        <v>196</v>
      </c>
      <c r="S168" s="13" t="s">
        <v>103</v>
      </c>
      <c r="T168" s="17">
        <f>(N168-V168)/R168</f>
        <v>57.573116926316388</v>
      </c>
      <c r="U168" s="17">
        <f>(O168-V168)/R168</f>
        <v>53.303506088618079</v>
      </c>
      <c r="V168" s="16"/>
      <c r="W168" s="16"/>
      <c r="X168" s="16"/>
      <c r="Y168" s="16"/>
      <c r="Z168" s="16"/>
      <c r="AA168" s="16"/>
      <c r="AB168" s="16"/>
      <c r="AC168" s="16" t="s">
        <v>39</v>
      </c>
      <c r="AD168" s="19"/>
    </row>
    <row r="169" spans="2:30">
      <c r="B169" s="14">
        <v>45572</v>
      </c>
      <c r="C169" s="105" t="s">
        <v>254</v>
      </c>
      <c r="D169" s="16" t="s">
        <v>257</v>
      </c>
      <c r="E169" s="16"/>
      <c r="F169" s="17"/>
      <c r="G169" s="16"/>
      <c r="H169" s="16">
        <v>72959</v>
      </c>
      <c r="I169" s="16" t="s">
        <v>157</v>
      </c>
      <c r="J169" s="105" t="s">
        <v>254</v>
      </c>
      <c r="K169" s="17">
        <v>108.25</v>
      </c>
      <c r="L169" s="17">
        <f>0.921664*8.3454</f>
        <v>7.6916547456000002</v>
      </c>
      <c r="M169" s="18">
        <f t="shared" ref="M169:M172" si="88">(H169/L169)</f>
        <v>9485.4751562706442</v>
      </c>
      <c r="N169" s="17">
        <f t="shared" ref="N169:N172" si="89">(M169*(K169/100))</f>
        <v>10268.026856662973</v>
      </c>
      <c r="O169" s="17">
        <f t="shared" ref="O169:O172" si="90">H169/L169</f>
        <v>9485.4751562706442</v>
      </c>
      <c r="P169" s="119" t="s">
        <v>256</v>
      </c>
      <c r="Q169" s="16" t="s">
        <v>37</v>
      </c>
      <c r="R169" s="23">
        <v>179</v>
      </c>
      <c r="S169" s="13" t="s">
        <v>103</v>
      </c>
      <c r="T169" s="17">
        <f t="shared" ref="T169" si="91">(N169-V169)/R169</f>
        <v>57.363278528843423</v>
      </c>
      <c r="U169" s="17">
        <f t="shared" ref="U169" si="92">(O169-V169)/R169</f>
        <v>52.991481319947731</v>
      </c>
      <c r="V169" s="16"/>
      <c r="W169" s="16"/>
      <c r="X169" s="16"/>
      <c r="Y169" s="16"/>
      <c r="Z169" s="16"/>
      <c r="AA169" s="16"/>
      <c r="AB169" s="16"/>
      <c r="AC169" s="16" t="s">
        <v>39</v>
      </c>
      <c r="AD169" s="19"/>
    </row>
    <row r="170" spans="2:30">
      <c r="B170" s="14">
        <v>45572</v>
      </c>
      <c r="C170" s="105" t="s">
        <v>254</v>
      </c>
      <c r="D170" s="16" t="s">
        <v>258</v>
      </c>
      <c r="E170" s="16"/>
      <c r="F170" s="17"/>
      <c r="G170" s="16"/>
      <c r="H170" s="16">
        <v>87319</v>
      </c>
      <c r="I170" s="16" t="s">
        <v>157</v>
      </c>
      <c r="J170" s="105" t="s">
        <v>254</v>
      </c>
      <c r="K170" s="17">
        <v>107.86</v>
      </c>
      <c r="L170" s="17">
        <f>0.921664*8.3454</f>
        <v>7.6916547456000002</v>
      </c>
      <c r="M170" s="18">
        <f t="shared" si="88"/>
        <v>11352.433629441142</v>
      </c>
      <c r="N170" s="17">
        <f t="shared" si="89"/>
        <v>12244.734912715216</v>
      </c>
      <c r="O170" s="17">
        <f t="shared" si="90"/>
        <v>11352.433629441142</v>
      </c>
      <c r="P170" s="119" t="s">
        <v>256</v>
      </c>
      <c r="Q170" s="16" t="s">
        <v>37</v>
      </c>
      <c r="R170" s="53">
        <v>214</v>
      </c>
      <c r="S170" s="13" t="s">
        <v>103</v>
      </c>
      <c r="T170" s="17">
        <f t="shared" ref="T170:T172" si="93">(N170-V170)/R170</f>
        <v>57.218387442594462</v>
      </c>
      <c r="U170" s="17">
        <f t="shared" ref="U170:U172" si="94">(O170-V170)/R170</f>
        <v>53.048755277762346</v>
      </c>
      <c r="V170" s="16"/>
      <c r="W170" s="16"/>
      <c r="X170" s="16"/>
      <c r="Y170" s="16"/>
      <c r="Z170" s="16"/>
      <c r="AA170" s="16"/>
      <c r="AB170" s="16"/>
      <c r="AC170" s="16" t="s">
        <v>39</v>
      </c>
      <c r="AD170" s="19"/>
    </row>
    <row r="171" spans="2:30">
      <c r="B171" s="14">
        <v>45573</v>
      </c>
      <c r="C171" s="105" t="s">
        <v>254</v>
      </c>
      <c r="D171" s="16" t="s">
        <v>259</v>
      </c>
      <c r="E171" s="16"/>
      <c r="F171" s="17"/>
      <c r="G171" s="16"/>
      <c r="H171" s="16">
        <v>89740</v>
      </c>
      <c r="I171" s="16" t="s">
        <v>157</v>
      </c>
      <c r="J171" s="105" t="s">
        <v>254</v>
      </c>
      <c r="K171" s="17">
        <v>107.89</v>
      </c>
      <c r="L171" s="17">
        <f>0.922033*8.3454</f>
        <v>7.6947341981999999</v>
      </c>
      <c r="M171" s="18">
        <f t="shared" si="88"/>
        <v>11662.521107095881</v>
      </c>
      <c r="N171" s="17">
        <f t="shared" si="89"/>
        <v>12582.694022445747</v>
      </c>
      <c r="O171" s="17">
        <f t="shared" si="90"/>
        <v>11662.521107095881</v>
      </c>
      <c r="P171" s="119" t="s">
        <v>256</v>
      </c>
      <c r="Q171" s="16" t="s">
        <v>37</v>
      </c>
      <c r="R171" s="53">
        <v>222</v>
      </c>
      <c r="S171" s="13" t="s">
        <v>103</v>
      </c>
      <c r="T171" s="17">
        <f t="shared" si="93"/>
        <v>56.678801902908766</v>
      </c>
      <c r="U171" s="17">
        <f t="shared" si="94"/>
        <v>52.533878860792257</v>
      </c>
      <c r="V171" s="16"/>
      <c r="W171" s="16"/>
      <c r="X171" s="16"/>
      <c r="Y171" s="16"/>
      <c r="Z171" s="16"/>
      <c r="AA171" s="16"/>
      <c r="AB171" s="16"/>
      <c r="AC171" s="16" t="s">
        <v>39</v>
      </c>
      <c r="AD171" s="19"/>
    </row>
    <row r="172" spans="2:30">
      <c r="B172" s="14">
        <v>45573</v>
      </c>
      <c r="C172" s="105" t="s">
        <v>254</v>
      </c>
      <c r="D172" s="16" t="s">
        <v>260</v>
      </c>
      <c r="E172" s="16"/>
      <c r="F172" s="17"/>
      <c r="G172" s="16"/>
      <c r="H172" s="16">
        <v>81100</v>
      </c>
      <c r="I172" s="16" t="s">
        <v>157</v>
      </c>
      <c r="J172" s="105" t="s">
        <v>254</v>
      </c>
      <c r="K172" s="17">
        <v>108</v>
      </c>
      <c r="L172" s="17">
        <f>0.921923*8.3454</f>
        <v>7.6938162042</v>
      </c>
      <c r="M172" s="18">
        <f t="shared" si="88"/>
        <v>10540.932854066372</v>
      </c>
      <c r="N172" s="17">
        <f t="shared" si="89"/>
        <v>11384.207482391683</v>
      </c>
      <c r="O172" s="17">
        <f t="shared" si="90"/>
        <v>10540.932854066372</v>
      </c>
      <c r="P172" s="119" t="s">
        <v>256</v>
      </c>
      <c r="Q172" s="16" t="s">
        <v>37</v>
      </c>
      <c r="R172" s="53">
        <v>203</v>
      </c>
      <c r="S172" s="13" t="s">
        <v>103</v>
      </c>
      <c r="T172" s="17">
        <f t="shared" si="93"/>
        <v>56.079839814737355</v>
      </c>
      <c r="U172" s="17">
        <f t="shared" si="94"/>
        <v>51.925777606238285</v>
      </c>
      <c r="V172" s="16"/>
      <c r="W172" s="16"/>
      <c r="X172" s="16"/>
      <c r="Y172" s="16"/>
      <c r="Z172" s="16"/>
      <c r="AA172" s="16"/>
      <c r="AB172" s="16"/>
      <c r="AC172" s="16" t="s">
        <v>39</v>
      </c>
      <c r="AD172" s="19"/>
    </row>
    <row r="173" spans="2:30">
      <c r="B173" s="14">
        <v>45573</v>
      </c>
      <c r="C173" s="105" t="s">
        <v>254</v>
      </c>
      <c r="D173" s="16" t="s">
        <v>261</v>
      </c>
      <c r="E173" s="16"/>
      <c r="F173" s="17"/>
      <c r="G173" s="16"/>
      <c r="H173" s="16">
        <f>407.5*138</f>
        <v>56235</v>
      </c>
      <c r="I173" s="16" t="s">
        <v>157</v>
      </c>
      <c r="J173" s="105" t="s">
        <v>254</v>
      </c>
      <c r="K173" s="17">
        <v>108.27</v>
      </c>
      <c r="L173" s="17">
        <f>0.92164*8.3454</f>
        <v>7.6914544559999998</v>
      </c>
      <c r="M173" s="18">
        <f t="shared" ref="M173:M174" si="95">(H173/L173)</f>
        <v>7311.36098142424</v>
      </c>
      <c r="N173" s="17">
        <f t="shared" ref="N173:N174" si="96">(M173*(K173/100))</f>
        <v>7916.0105345880247</v>
      </c>
      <c r="O173" s="17">
        <f t="shared" ref="O173:O174" si="97">H173/L173</f>
        <v>7311.36098142424</v>
      </c>
      <c r="P173" s="102" t="s">
        <v>256</v>
      </c>
      <c r="Q173" s="16" t="s">
        <v>37</v>
      </c>
      <c r="R173" s="53">
        <v>138</v>
      </c>
      <c r="S173" s="13" t="s">
        <v>103</v>
      </c>
      <c r="T173" s="17">
        <f t="shared" ref="T173:T174" si="98">(N173-V173)/R173</f>
        <v>57.36239517817409</v>
      </c>
      <c r="U173" s="17">
        <f t="shared" ref="U173:U174" si="99">(O173-V173)/R173</f>
        <v>52.980876676987243</v>
      </c>
      <c r="V173" s="16"/>
      <c r="W173" s="16"/>
      <c r="X173" s="16"/>
      <c r="Y173" s="16"/>
      <c r="Z173" s="16"/>
      <c r="AA173" s="16"/>
      <c r="AB173" s="16"/>
      <c r="AC173" s="16" t="s">
        <v>39</v>
      </c>
      <c r="AD173" s="19"/>
    </row>
    <row r="174" spans="2:30">
      <c r="B174" s="14">
        <v>45574</v>
      </c>
      <c r="C174" s="105" t="s">
        <v>254</v>
      </c>
      <c r="D174" s="16" t="s">
        <v>262</v>
      </c>
      <c r="E174" s="16"/>
      <c r="F174" s="17"/>
      <c r="G174" s="16"/>
      <c r="H174" s="16">
        <f>407.5*148</f>
        <v>60310</v>
      </c>
      <c r="I174" s="16" t="s">
        <v>157</v>
      </c>
      <c r="J174" s="105" t="s">
        <v>254</v>
      </c>
      <c r="K174" s="17">
        <v>108.16</v>
      </c>
      <c r="L174" s="17">
        <f>0.921753*8.3454</f>
        <v>7.6923974862</v>
      </c>
      <c r="M174" s="18">
        <f t="shared" si="95"/>
        <v>7840.2084796313347</v>
      </c>
      <c r="N174" s="17">
        <f t="shared" si="96"/>
        <v>8479.9694915692507</v>
      </c>
      <c r="O174" s="17">
        <f t="shared" si="97"/>
        <v>7840.2084796313347</v>
      </c>
      <c r="P174" s="102" t="s">
        <v>256</v>
      </c>
      <c r="Q174" s="16" t="s">
        <v>37</v>
      </c>
      <c r="R174" s="53">
        <v>148</v>
      </c>
      <c r="S174" s="13" t="s">
        <v>103</v>
      </c>
      <c r="T174" s="17">
        <f t="shared" si="98"/>
        <v>57.297091159251693</v>
      </c>
      <c r="U174" s="17">
        <f t="shared" si="99"/>
        <v>52.974381619130639</v>
      </c>
      <c r="V174" s="16"/>
      <c r="W174" s="16"/>
      <c r="X174" s="16"/>
      <c r="Y174" s="16"/>
      <c r="Z174" s="16"/>
      <c r="AA174" s="16"/>
      <c r="AB174" s="16"/>
      <c r="AC174" s="16" t="s">
        <v>39</v>
      </c>
      <c r="AD174" s="19"/>
    </row>
    <row r="175" spans="2:30">
      <c r="B175" s="14">
        <v>45574</v>
      </c>
      <c r="C175" s="105" t="s">
        <v>254</v>
      </c>
      <c r="D175" s="16" t="s">
        <v>263</v>
      </c>
      <c r="E175" s="16"/>
      <c r="F175" s="17"/>
      <c r="G175" s="16"/>
      <c r="H175" s="16">
        <f>407.5*2</f>
        <v>815</v>
      </c>
      <c r="I175" s="16" t="s">
        <v>157</v>
      </c>
      <c r="J175" s="105" t="s">
        <v>254</v>
      </c>
      <c r="K175" s="17">
        <v>108.16</v>
      </c>
      <c r="L175" s="17">
        <f>0.921753*8.3454</f>
        <v>7.6923974862</v>
      </c>
      <c r="M175" s="18">
        <f t="shared" ref="M175" si="100">(H175/L175)</f>
        <v>105.94876323826128</v>
      </c>
      <c r="N175" s="17">
        <f t="shared" ref="N175" si="101">(M175*(K175/100))</f>
        <v>114.59418231850339</v>
      </c>
      <c r="O175" s="17">
        <f t="shared" ref="O175" si="102">H175/L175</f>
        <v>105.94876323826128</v>
      </c>
      <c r="P175" s="102" t="s">
        <v>264</v>
      </c>
      <c r="Q175" s="16" t="s">
        <v>37</v>
      </c>
      <c r="R175" s="53">
        <v>2</v>
      </c>
      <c r="S175" s="13" t="s">
        <v>103</v>
      </c>
      <c r="T175" s="17">
        <f t="shared" ref="T175" si="103">(N175-V175)/R175</f>
        <v>57.297091159251693</v>
      </c>
      <c r="U175" s="17">
        <f t="shared" ref="U175" si="104">(O175-V175)/R175</f>
        <v>52.974381619130639</v>
      </c>
      <c r="V175" s="16"/>
      <c r="W175" s="16"/>
      <c r="X175" s="16"/>
      <c r="Y175" s="16"/>
      <c r="Z175" s="16"/>
      <c r="AA175" s="16"/>
      <c r="AB175" s="16"/>
      <c r="AC175" s="16" t="s">
        <v>39</v>
      </c>
      <c r="AD175" s="19"/>
    </row>
    <row r="176" spans="2:30">
      <c r="B176" s="108" t="s">
        <v>265</v>
      </c>
      <c r="C176" s="131" t="s">
        <v>266</v>
      </c>
      <c r="D176" s="111" t="s">
        <v>267</v>
      </c>
      <c r="E176" s="111"/>
      <c r="F176" s="112"/>
      <c r="G176" s="111" t="s">
        <v>106</v>
      </c>
      <c r="H176" s="111">
        <f>402.5*23</f>
        <v>9257.5</v>
      </c>
      <c r="I176" s="111" t="s">
        <v>157</v>
      </c>
      <c r="J176" s="111" t="s">
        <v>266</v>
      </c>
      <c r="K176" s="112">
        <v>108.16</v>
      </c>
      <c r="L176" s="112">
        <f t="shared" ref="L176" si="105">0.921753*8.3454</f>
        <v>7.6923974862</v>
      </c>
      <c r="M176" s="113">
        <f t="shared" ref="M176" si="106">(H176/L176)</f>
        <v>1203.4609517523972</v>
      </c>
      <c r="N176" s="112">
        <f t="shared" ref="N176" si="107">(M176*(K176/100))</f>
        <v>1301.6633654153927</v>
      </c>
      <c r="O176" s="112">
        <f t="shared" ref="O176" si="108">H176/L176</f>
        <v>1203.4609517523972</v>
      </c>
      <c r="P176" s="111" t="s">
        <v>36</v>
      </c>
      <c r="Q176" s="111" t="s">
        <v>37</v>
      </c>
      <c r="R176" s="135">
        <v>23</v>
      </c>
      <c r="S176" s="132" t="s">
        <v>103</v>
      </c>
      <c r="T176" s="17">
        <f t="shared" ref="T176" si="109">(N176-V176)/R176</f>
        <v>56.594059365886643</v>
      </c>
      <c r="U176" s="17">
        <f t="shared" ref="U176" si="110">(O176-V176)/R176</f>
        <v>52.324389206625966</v>
      </c>
      <c r="V176" s="7"/>
      <c r="W176" s="7"/>
      <c r="X176" s="7"/>
      <c r="Y176" s="7"/>
      <c r="Z176" s="7"/>
      <c r="AA176" s="7"/>
      <c r="AB176" s="7"/>
      <c r="AC176" s="25"/>
      <c r="AD176" s="19"/>
    </row>
    <row r="177" spans="2:30">
      <c r="B177" s="129" t="s">
        <v>268</v>
      </c>
      <c r="C177" s="105" t="s">
        <v>163</v>
      </c>
      <c r="D177" s="92" t="s">
        <v>269</v>
      </c>
      <c r="E177" s="11"/>
      <c r="F177" s="130"/>
      <c r="G177" s="11"/>
      <c r="H177" s="92">
        <f>402.5*30</f>
        <v>12075</v>
      </c>
      <c r="I177" s="14" t="s">
        <v>157</v>
      </c>
      <c r="J177" s="14" t="s">
        <v>163</v>
      </c>
      <c r="K177" s="16">
        <v>119.72</v>
      </c>
      <c r="L177" s="17">
        <f>0.909318*8.3454</f>
        <v>7.5886224371999997</v>
      </c>
      <c r="M177" s="18">
        <f>(H177/L177)</f>
        <v>1591.1978886717884</v>
      </c>
      <c r="N177" s="18">
        <f>(M177*(K177/100))</f>
        <v>1904.9821123178651</v>
      </c>
      <c r="O177" s="16">
        <f>H177/L177</f>
        <v>1591.1978886717884</v>
      </c>
      <c r="P177" s="14" t="s">
        <v>36</v>
      </c>
      <c r="Q177" s="121" t="s">
        <v>37</v>
      </c>
      <c r="R177" s="121">
        <v>30</v>
      </c>
      <c r="S177" s="119" t="s">
        <v>103</v>
      </c>
      <c r="T177" s="17">
        <f t="shared" ref="T177:T181" si="111">(N177-V177)/R177</f>
        <v>63.499403743928838</v>
      </c>
      <c r="U177" s="17">
        <f t="shared" ref="U177:U181" si="112">(O177-V177)/R177</f>
        <v>53.039929622392947</v>
      </c>
      <c r="V177" s="14"/>
      <c r="W177" s="14"/>
      <c r="X177" s="14"/>
      <c r="Y177" s="14"/>
      <c r="Z177" s="14"/>
      <c r="AA177" s="14"/>
      <c r="AB177" s="14"/>
      <c r="AC177" s="16" t="s">
        <v>39</v>
      </c>
      <c r="AD177" s="14"/>
    </row>
    <row r="178" spans="2:30">
      <c r="B178" s="14">
        <v>45574</v>
      </c>
      <c r="C178" s="105" t="s">
        <v>163</v>
      </c>
      <c r="D178" s="14" t="s">
        <v>270</v>
      </c>
      <c r="E178" s="14"/>
      <c r="F178" s="14"/>
      <c r="G178" s="14"/>
      <c r="H178" s="16">
        <v>34725</v>
      </c>
      <c r="I178" s="14" t="s">
        <v>157</v>
      </c>
      <c r="J178" s="14" t="s">
        <v>163</v>
      </c>
      <c r="K178" s="16">
        <v>120.27</v>
      </c>
      <c r="L178" s="17">
        <f>0.908698*8.3454</f>
        <v>7.5834482891999997</v>
      </c>
      <c r="M178" s="18">
        <f>(H178/L178)</f>
        <v>4579.0514652092716</v>
      </c>
      <c r="N178" s="18">
        <f>(M178*(K178/100))</f>
        <v>5507.2251972071899</v>
      </c>
      <c r="O178" s="16">
        <f>H178/L178</f>
        <v>4579.0514652092716</v>
      </c>
      <c r="P178" s="14" t="s">
        <v>36</v>
      </c>
      <c r="Q178" s="16" t="s">
        <v>37</v>
      </c>
      <c r="R178" s="53">
        <v>86</v>
      </c>
      <c r="S178" s="119" t="s">
        <v>103</v>
      </c>
      <c r="T178" s="17">
        <f t="shared" si="111"/>
        <v>64.037502293106854</v>
      </c>
      <c r="U178" s="17">
        <f t="shared" si="112"/>
        <v>53.244784479177575</v>
      </c>
      <c r="V178" s="14"/>
      <c r="W178" s="14"/>
      <c r="X178" s="14"/>
      <c r="Y178" s="14"/>
      <c r="Z178" s="14"/>
      <c r="AA178" s="14"/>
      <c r="AB178" s="14"/>
      <c r="AC178" s="16" t="s">
        <v>39</v>
      </c>
      <c r="AD178" s="14"/>
    </row>
    <row r="179" spans="2:30">
      <c r="B179" s="14">
        <v>45574</v>
      </c>
      <c r="C179" s="105" t="s">
        <v>163</v>
      </c>
      <c r="D179" s="14" t="s">
        <v>271</v>
      </c>
      <c r="E179" s="14"/>
      <c r="F179" s="14"/>
      <c r="G179" s="14"/>
      <c r="H179" s="16">
        <f>402.5*172</f>
        <v>69230</v>
      </c>
      <c r="I179" s="14" t="s">
        <v>157</v>
      </c>
      <c r="J179" s="14" t="s">
        <v>163</v>
      </c>
      <c r="K179" s="16">
        <v>119.72</v>
      </c>
      <c r="L179" s="17">
        <f>0.909318*8.3454</f>
        <v>7.5886224371999997</v>
      </c>
      <c r="M179" s="18">
        <f>(H179/L179)</f>
        <v>9122.8678950515859</v>
      </c>
      <c r="N179" s="18">
        <f>(M179*(K179/100))</f>
        <v>10921.897443955759</v>
      </c>
      <c r="O179" s="16">
        <f>H179/L179</f>
        <v>9122.8678950515859</v>
      </c>
      <c r="P179" s="14" t="s">
        <v>36</v>
      </c>
      <c r="Q179" s="16" t="s">
        <v>37</v>
      </c>
      <c r="R179" s="53">
        <v>172</v>
      </c>
      <c r="S179" s="119" t="s">
        <v>103</v>
      </c>
      <c r="T179" s="17">
        <f t="shared" si="111"/>
        <v>63.499403743928831</v>
      </c>
      <c r="U179" s="17">
        <f t="shared" si="112"/>
        <v>53.03992962239294</v>
      </c>
      <c r="V179" s="14"/>
      <c r="W179" s="14"/>
      <c r="X179" s="14"/>
      <c r="Y179" s="14"/>
      <c r="Z179" s="14"/>
      <c r="AA179" s="14"/>
      <c r="AB179" s="14"/>
      <c r="AC179" s="16" t="s">
        <v>39</v>
      </c>
      <c r="AD179" s="14"/>
    </row>
    <row r="180" spans="2:30">
      <c r="B180" s="14" t="s">
        <v>272</v>
      </c>
      <c r="C180" s="105" t="s">
        <v>163</v>
      </c>
      <c r="D180" s="14" t="s">
        <v>273</v>
      </c>
      <c r="E180" s="14"/>
      <c r="F180" s="14"/>
      <c r="G180" s="14"/>
      <c r="H180" s="16">
        <v>73135</v>
      </c>
      <c r="I180" s="14" t="s">
        <v>157</v>
      </c>
      <c r="J180" s="14" t="s">
        <v>163</v>
      </c>
      <c r="K180" s="16">
        <v>120.04</v>
      </c>
      <c r="L180" s="17">
        <f>0.908955*8.3454</f>
        <v>7.5855930569999996</v>
      </c>
      <c r="M180" s="18">
        <f>(H180/L180)</f>
        <v>9641.3028553530021</v>
      </c>
      <c r="N180" s="18">
        <f>(M180*(K180/100))</f>
        <v>11573.419947565744</v>
      </c>
      <c r="O180" s="16">
        <f>H180/L180</f>
        <v>9641.3028553530021</v>
      </c>
      <c r="P180" s="14" t="s">
        <v>36</v>
      </c>
      <c r="Q180" s="16" t="s">
        <v>37</v>
      </c>
      <c r="R180" s="53">
        <v>180</v>
      </c>
      <c r="S180" s="119" t="s">
        <v>103</v>
      </c>
      <c r="T180" s="17">
        <f t="shared" si="111"/>
        <v>64.296777486476358</v>
      </c>
      <c r="U180" s="17">
        <f t="shared" si="112"/>
        <v>53.56279364085001</v>
      </c>
      <c r="V180" s="14"/>
      <c r="W180" s="14"/>
      <c r="X180" s="14"/>
      <c r="Y180" s="14"/>
      <c r="Z180" s="14"/>
      <c r="AA180" s="14"/>
      <c r="AB180" s="14"/>
      <c r="AC180" s="16" t="s">
        <v>39</v>
      </c>
      <c r="AD180" s="14"/>
    </row>
    <row r="181" spans="2:30">
      <c r="B181" s="14" t="s">
        <v>272</v>
      </c>
      <c r="C181" s="105" t="s">
        <v>163</v>
      </c>
      <c r="D181" s="14" t="s">
        <v>274</v>
      </c>
      <c r="E181" s="14"/>
      <c r="F181" s="14"/>
      <c r="G181" s="14"/>
      <c r="H181" s="16">
        <v>23210</v>
      </c>
      <c r="I181" s="14" t="s">
        <v>157</v>
      </c>
      <c r="J181" s="14" t="s">
        <v>163</v>
      </c>
      <c r="K181" s="16">
        <v>120.1</v>
      </c>
      <c r="L181" s="17">
        <f>0.908883*8.3454</f>
        <v>7.5849921881999993</v>
      </c>
      <c r="M181" s="18">
        <f t="shared" ref="M181" si="113">(H181/L181)</f>
        <v>3059.9899675714742</v>
      </c>
      <c r="N181" s="18">
        <f t="shared" ref="N181" si="114">(M181*(K181/100))</f>
        <v>3675.0479510533401</v>
      </c>
      <c r="O181" s="16">
        <f t="shared" ref="O181" si="115">H181/L181</f>
        <v>3059.9899675714742</v>
      </c>
      <c r="P181" s="14" t="s">
        <v>36</v>
      </c>
      <c r="Q181" s="16" t="s">
        <v>37</v>
      </c>
      <c r="R181" s="53">
        <v>57</v>
      </c>
      <c r="S181" s="119" t="s">
        <v>103</v>
      </c>
      <c r="T181" s="17">
        <f t="shared" si="111"/>
        <v>64.47452545707614</v>
      </c>
      <c r="U181" s="17">
        <f t="shared" si="112"/>
        <v>53.684034518797795</v>
      </c>
      <c r="V181" s="14"/>
      <c r="W181" s="14"/>
      <c r="X181" s="14"/>
      <c r="Y181" s="14"/>
      <c r="Z181" s="14"/>
      <c r="AA181" s="14"/>
      <c r="AB181" s="14"/>
      <c r="AC181" s="16" t="s">
        <v>39</v>
      </c>
      <c r="AD181" s="14"/>
    </row>
    <row r="182" spans="2:30">
      <c r="B182" s="14" t="s">
        <v>272</v>
      </c>
      <c r="C182" s="104" t="s">
        <v>163</v>
      </c>
      <c r="D182" s="14" t="s">
        <v>275</v>
      </c>
      <c r="E182" s="14"/>
      <c r="F182" s="14"/>
      <c r="G182" s="14"/>
      <c r="H182" s="16">
        <f>402.5*42</f>
        <v>16905</v>
      </c>
      <c r="I182" s="14" t="s">
        <v>157</v>
      </c>
      <c r="J182" s="14" t="s">
        <v>276</v>
      </c>
      <c r="K182" s="16">
        <v>120.1</v>
      </c>
      <c r="L182" s="17">
        <f>0.908883*8.3454</f>
        <v>7.5849921881999993</v>
      </c>
      <c r="M182" s="18">
        <f t="shared" ref="M182" si="116">(H182/L182)</f>
        <v>2228.7432314431612</v>
      </c>
      <c r="N182" s="18">
        <f t="shared" ref="N182" si="117">(M182*(K182/100))</f>
        <v>2676.7206209632363</v>
      </c>
      <c r="O182" s="16">
        <f t="shared" ref="O182" si="118">H182/L182</f>
        <v>2228.7432314431612</v>
      </c>
      <c r="P182" s="14" t="s">
        <v>36</v>
      </c>
      <c r="Q182" s="14" t="s">
        <v>37</v>
      </c>
      <c r="R182" s="16">
        <v>42</v>
      </c>
      <c r="S182" s="119" t="s">
        <v>103</v>
      </c>
      <c r="T182" s="17">
        <f t="shared" ref="T182" si="119">(N182-V182)/R182</f>
        <v>63.731443356267533</v>
      </c>
      <c r="U182" s="17">
        <f t="shared" ref="U182" si="120">(O182-V182)/R182</f>
        <v>53.065315034360978</v>
      </c>
      <c r="V182" s="14"/>
      <c r="W182" s="14"/>
      <c r="X182" s="14"/>
      <c r="Y182" s="14"/>
      <c r="Z182" s="14"/>
      <c r="AA182" s="14"/>
      <c r="AB182" s="14"/>
      <c r="AC182" s="14"/>
      <c r="AD182" s="14"/>
    </row>
    <row r="183" spans="2:30">
      <c r="B183" s="138" t="s">
        <v>277</v>
      </c>
      <c r="C183" s="193" t="s">
        <v>41</v>
      </c>
      <c r="D183" s="138" t="s">
        <v>278</v>
      </c>
      <c r="E183" s="138"/>
      <c r="F183" s="138"/>
      <c r="G183" s="138"/>
      <c r="H183" s="59">
        <v>71960</v>
      </c>
      <c r="I183" s="138" t="s">
        <v>35</v>
      </c>
      <c r="J183" s="138" t="s">
        <v>41</v>
      </c>
      <c r="K183" s="17">
        <v>125</v>
      </c>
      <c r="L183" s="17">
        <f>0.903206*8.3454</f>
        <v>7.5376153523999996</v>
      </c>
      <c r="M183" s="18">
        <f t="shared" ref="M183:M192" si="121">(H183/L183)</f>
        <v>9546.7859045218756</v>
      </c>
      <c r="N183" s="18">
        <v>11943.984</v>
      </c>
      <c r="O183" s="16">
        <f t="shared" ref="O183:O192" si="122">H183/L183</f>
        <v>9546.7859045218756</v>
      </c>
      <c r="P183" s="14" t="s">
        <v>36</v>
      </c>
      <c r="Q183" s="14" t="s">
        <v>37</v>
      </c>
      <c r="R183" s="53">
        <v>179</v>
      </c>
      <c r="S183" s="119" t="s">
        <v>103</v>
      </c>
      <c r="T183" s="17">
        <f t="shared" ref="T183:T192" si="123">(N183-V183)/R183</f>
        <v>66.726167597765368</v>
      </c>
      <c r="U183" s="17">
        <f t="shared" ref="U183:U192" si="124">(O183-V183)/R183</f>
        <v>53.333999466602656</v>
      </c>
      <c r="V183" s="14"/>
      <c r="W183" s="14"/>
      <c r="X183" s="14"/>
      <c r="Y183" s="14"/>
      <c r="Z183" s="14"/>
      <c r="AA183" s="14"/>
      <c r="AB183" s="14"/>
      <c r="AC183" s="16" t="s">
        <v>39</v>
      </c>
      <c r="AD183" s="14"/>
    </row>
    <row r="184" spans="2:30">
      <c r="B184" s="14" t="s">
        <v>277</v>
      </c>
      <c r="C184" s="193" t="s">
        <v>41</v>
      </c>
      <c r="D184" s="14" t="s">
        <v>279</v>
      </c>
      <c r="E184" s="14"/>
      <c r="F184" s="14"/>
      <c r="G184" s="14"/>
      <c r="H184" s="16">
        <v>86635</v>
      </c>
      <c r="I184" s="14" t="s">
        <v>35</v>
      </c>
      <c r="J184" s="14" t="s">
        <v>41</v>
      </c>
      <c r="K184" s="17">
        <v>124.79</v>
      </c>
      <c r="L184" s="17">
        <f>0.903581*8.3454</f>
        <v>7.5407448773999999</v>
      </c>
      <c r="M184" s="18">
        <f>(H184/L184)</f>
        <v>11488.918058963849</v>
      </c>
      <c r="N184" s="18">
        <f t="shared" ref="N184:N188" si="125">(M184*(K184/100))</f>
        <v>14337.020845780988</v>
      </c>
      <c r="O184" s="16">
        <f t="shared" si="122"/>
        <v>11488.918058963849</v>
      </c>
      <c r="P184" s="14" t="s">
        <v>36</v>
      </c>
      <c r="Q184" s="14" t="s">
        <v>37</v>
      </c>
      <c r="R184" s="53">
        <v>215</v>
      </c>
      <c r="S184" s="119" t="s">
        <v>103</v>
      </c>
      <c r="T184" s="17">
        <f t="shared" si="123"/>
        <v>66.683817887353428</v>
      </c>
      <c r="U184" s="17">
        <f t="shared" si="124"/>
        <v>53.436828181227206</v>
      </c>
      <c r="V184" s="14"/>
      <c r="W184" s="14"/>
      <c r="X184" s="14"/>
      <c r="Y184" s="14"/>
      <c r="Z184" s="14"/>
      <c r="AA184" s="14"/>
      <c r="AB184" s="14"/>
      <c r="AC184" s="16" t="s">
        <v>39</v>
      </c>
      <c r="AD184" s="14"/>
    </row>
    <row r="185" spans="2:30">
      <c r="B185" s="14" t="s">
        <v>280</v>
      </c>
      <c r="C185" s="193" t="s">
        <v>41</v>
      </c>
      <c r="D185" s="14" t="s">
        <v>281</v>
      </c>
      <c r="E185" s="14"/>
      <c r="F185" s="14"/>
      <c r="G185" s="14"/>
      <c r="H185" s="16">
        <v>81440</v>
      </c>
      <c r="I185" s="14" t="s">
        <v>35</v>
      </c>
      <c r="J185" s="14" t="s">
        <v>41</v>
      </c>
      <c r="K185" s="16">
        <v>124.97</v>
      </c>
      <c r="L185" s="17">
        <f>0.903377*8.3454</f>
        <v>7.5390424158</v>
      </c>
      <c r="M185" s="18">
        <f t="shared" si="121"/>
        <v>10802.432922956046</v>
      </c>
      <c r="N185" s="18">
        <f t="shared" si="125"/>
        <v>13499.800423818171</v>
      </c>
      <c r="O185" s="16">
        <f t="shared" si="122"/>
        <v>10802.432922956046</v>
      </c>
      <c r="P185" s="14" t="s">
        <v>36</v>
      </c>
      <c r="Q185" s="14" t="s">
        <v>37</v>
      </c>
      <c r="R185" s="53">
        <v>202</v>
      </c>
      <c r="S185" s="119" t="s">
        <v>103</v>
      </c>
      <c r="T185" s="17">
        <f t="shared" si="123"/>
        <v>66.830695167416692</v>
      </c>
      <c r="U185" s="17">
        <f t="shared" si="124"/>
        <v>53.477390707703201</v>
      </c>
      <c r="V185" s="14"/>
      <c r="W185" s="14"/>
      <c r="X185" s="14"/>
      <c r="Y185" s="14"/>
      <c r="Z185" s="14"/>
      <c r="AA185" s="14"/>
      <c r="AB185" s="14"/>
      <c r="AC185" s="16" t="s">
        <v>39</v>
      </c>
      <c r="AD185" s="14"/>
    </row>
    <row r="186" spans="2:30">
      <c r="B186" s="14" t="s">
        <v>280</v>
      </c>
      <c r="C186" s="193" t="s">
        <v>41</v>
      </c>
      <c r="D186" s="14" t="s">
        <v>282</v>
      </c>
      <c r="E186" s="14"/>
      <c r="F186" s="14"/>
      <c r="G186" s="14"/>
      <c r="H186" s="16">
        <v>83920</v>
      </c>
      <c r="I186" s="14" t="s">
        <v>35</v>
      </c>
      <c r="J186" s="14" t="s">
        <v>41</v>
      </c>
      <c r="K186" s="17">
        <v>125</v>
      </c>
      <c r="L186" s="17">
        <f>0.903111*8.3454</f>
        <v>7.5368225394000001</v>
      </c>
      <c r="M186" s="18">
        <f t="shared" si="121"/>
        <v>11134.665777427314</v>
      </c>
      <c r="N186" s="18">
        <v>13940.602000000001</v>
      </c>
      <c r="O186" s="16">
        <f t="shared" si="122"/>
        <v>11134.665777427314</v>
      </c>
      <c r="P186" s="14" t="s">
        <v>92</v>
      </c>
      <c r="Q186" s="14" t="s">
        <v>37</v>
      </c>
      <c r="R186" s="53">
        <v>213</v>
      </c>
      <c r="S186" s="119" t="s">
        <v>103</v>
      </c>
      <c r="T186" s="17">
        <f t="shared" si="123"/>
        <v>65.448835680751174</v>
      </c>
      <c r="U186" s="17">
        <f t="shared" si="124"/>
        <v>52.275426185104756</v>
      </c>
      <c r="V186" s="14"/>
      <c r="W186" s="14"/>
      <c r="X186" s="14"/>
      <c r="Y186" s="14"/>
      <c r="Z186" s="14"/>
      <c r="AA186" s="14"/>
      <c r="AB186" s="14"/>
      <c r="AC186" s="16" t="s">
        <v>39</v>
      </c>
      <c r="AD186" s="14"/>
    </row>
    <row r="187" spans="2:30">
      <c r="B187" s="14" t="s">
        <v>280</v>
      </c>
      <c r="C187" s="193" t="s">
        <v>41</v>
      </c>
      <c r="D187" s="14" t="s">
        <v>283</v>
      </c>
      <c r="E187" s="14"/>
      <c r="F187" s="14"/>
      <c r="G187" s="14"/>
      <c r="H187" s="16">
        <v>86910</v>
      </c>
      <c r="I187" s="14" t="s">
        <v>35</v>
      </c>
      <c r="J187" s="14" t="s">
        <v>41</v>
      </c>
      <c r="K187" s="16">
        <v>125.01</v>
      </c>
      <c r="L187" s="17">
        <f>0.903322*8.3454</f>
        <v>7.5385834187999992</v>
      </c>
      <c r="M187" s="18">
        <f t="shared" si="121"/>
        <v>11528.691157447514</v>
      </c>
      <c r="N187" s="18">
        <f t="shared" si="125"/>
        <v>14412.016815925137</v>
      </c>
      <c r="O187" s="16">
        <f t="shared" si="122"/>
        <v>11528.691157447514</v>
      </c>
      <c r="P187" s="14" t="s">
        <v>92</v>
      </c>
      <c r="Q187" s="14" t="s">
        <v>37</v>
      </c>
      <c r="R187" s="53">
        <v>215</v>
      </c>
      <c r="S187" s="119" t="s">
        <v>103</v>
      </c>
      <c r="T187" s="17">
        <f t="shared" si="123"/>
        <v>67.032636353140177</v>
      </c>
      <c r="U187" s="17">
        <f t="shared" si="124"/>
        <v>53.621819336965181</v>
      </c>
      <c r="V187" s="14"/>
      <c r="W187" s="14"/>
      <c r="X187" s="14"/>
      <c r="Y187" s="14"/>
      <c r="Z187" s="14"/>
      <c r="AA187" s="14"/>
      <c r="AB187" s="14"/>
      <c r="AC187" s="16" t="s">
        <v>39</v>
      </c>
      <c r="AD187" s="14"/>
    </row>
    <row r="188" spans="2:30">
      <c r="B188" s="14" t="s">
        <v>284</v>
      </c>
      <c r="C188" s="193" t="s">
        <v>41</v>
      </c>
      <c r="D188" s="14" t="s">
        <v>285</v>
      </c>
      <c r="E188" s="14"/>
      <c r="F188" s="14"/>
      <c r="G188" s="14"/>
      <c r="H188" s="16">
        <f>400*272</f>
        <v>108800</v>
      </c>
      <c r="I188" s="14" t="s">
        <v>35</v>
      </c>
      <c r="J188" s="14" t="s">
        <v>41</v>
      </c>
      <c r="K188" s="16">
        <v>125.03</v>
      </c>
      <c r="L188" s="17">
        <f>0.9033*8.3454</f>
        <v>7.5383998199999995</v>
      </c>
      <c r="M188" s="18">
        <f t="shared" si="121"/>
        <v>14432.771224384329</v>
      </c>
      <c r="N188" s="18">
        <f t="shared" si="125"/>
        <v>18045.293861847727</v>
      </c>
      <c r="O188" s="16">
        <f t="shared" si="122"/>
        <v>14432.771224384329</v>
      </c>
      <c r="P188" s="14" t="s">
        <v>92</v>
      </c>
      <c r="Q188" s="14" t="s">
        <v>37</v>
      </c>
      <c r="R188" s="23">
        <v>272</v>
      </c>
      <c r="S188" s="119" t="s">
        <v>103</v>
      </c>
      <c r="T188" s="17">
        <f t="shared" si="123"/>
        <v>66.342992139146062</v>
      </c>
      <c r="U188" s="17">
        <f t="shared" si="124"/>
        <v>53.061658913177681</v>
      </c>
      <c r="V188" s="14"/>
      <c r="W188" s="14"/>
      <c r="X188" s="14"/>
      <c r="Y188" s="14"/>
      <c r="Z188" s="14"/>
      <c r="AA188" s="14"/>
      <c r="AB188" s="14"/>
      <c r="AC188" s="16" t="s">
        <v>39</v>
      </c>
      <c r="AD188" s="14"/>
    </row>
    <row r="189" spans="2:30">
      <c r="B189" s="14" t="s">
        <v>284</v>
      </c>
      <c r="C189" s="193" t="s">
        <v>41</v>
      </c>
      <c r="D189" s="14" t="s">
        <v>286</v>
      </c>
      <c r="E189" s="14"/>
      <c r="F189" s="14"/>
      <c r="G189" s="14"/>
      <c r="H189" s="16">
        <v>86510</v>
      </c>
      <c r="I189" s="14" t="s">
        <v>35</v>
      </c>
      <c r="J189" s="14" t="s">
        <v>41</v>
      </c>
      <c r="K189" s="17">
        <v>125</v>
      </c>
      <c r="L189" s="17">
        <f>8.3454*0.903196</f>
        <v>7.5375318984000002</v>
      </c>
      <c r="M189" s="18">
        <f t="shared" si="121"/>
        <v>11477.231694152242</v>
      </c>
      <c r="N189" s="18">
        <v>14360.312</v>
      </c>
      <c r="O189" s="16">
        <f t="shared" si="122"/>
        <v>11477.231694152242</v>
      </c>
      <c r="P189" s="14" t="s">
        <v>92</v>
      </c>
      <c r="Q189" s="14" t="s">
        <v>37</v>
      </c>
      <c r="R189" s="23">
        <v>214</v>
      </c>
      <c r="S189" s="119" t="s">
        <v>103</v>
      </c>
      <c r="T189" s="17">
        <f t="shared" si="123"/>
        <v>67.104261682242992</v>
      </c>
      <c r="U189" s="17">
        <f t="shared" si="124"/>
        <v>53.631923804449727</v>
      </c>
      <c r="V189" s="14"/>
      <c r="W189" s="14"/>
      <c r="X189" s="14"/>
      <c r="Y189" s="14"/>
      <c r="Z189" s="14"/>
      <c r="AA189" s="14"/>
      <c r="AB189" s="14"/>
      <c r="AC189" s="16" t="s">
        <v>39</v>
      </c>
      <c r="AD189" s="14"/>
    </row>
    <row r="190" spans="2:30">
      <c r="B190" s="14" t="s">
        <v>287</v>
      </c>
      <c r="C190" s="193" t="s">
        <v>41</v>
      </c>
      <c r="D190" s="14" t="s">
        <v>288</v>
      </c>
      <c r="E190" s="14"/>
      <c r="F190" s="14"/>
      <c r="G190" s="14"/>
      <c r="H190" s="16">
        <v>83460</v>
      </c>
      <c r="I190" s="14" t="s">
        <v>35</v>
      </c>
      <c r="J190" s="14" t="s">
        <v>41</v>
      </c>
      <c r="K190" s="17">
        <v>125</v>
      </c>
      <c r="L190" s="17">
        <f>0.90305*8.3454</f>
        <v>7.5363134699999996</v>
      </c>
      <c r="M190" s="18">
        <f t="shared" si="121"/>
        <v>11074.380110677643</v>
      </c>
      <c r="N190" s="18">
        <v>13870.661</v>
      </c>
      <c r="O190" s="16">
        <f t="shared" si="122"/>
        <v>11074.380110677643</v>
      </c>
      <c r="P190" s="14" t="s">
        <v>289</v>
      </c>
      <c r="Q190" s="14" t="s">
        <v>37</v>
      </c>
      <c r="R190" s="23">
        <v>212</v>
      </c>
      <c r="S190" s="119" t="s">
        <v>103</v>
      </c>
      <c r="T190" s="17">
        <f t="shared" si="123"/>
        <v>65.427646226415092</v>
      </c>
      <c r="U190" s="17">
        <f t="shared" si="124"/>
        <v>52.237642031498318</v>
      </c>
      <c r="V190" s="14"/>
      <c r="W190" s="14"/>
      <c r="X190" s="14"/>
      <c r="Y190" s="14"/>
      <c r="Z190" s="14"/>
      <c r="AA190" s="14"/>
      <c r="AB190" s="14"/>
      <c r="AC190" s="16" t="s">
        <v>39</v>
      </c>
      <c r="AD190" s="14"/>
    </row>
    <row r="191" spans="2:30">
      <c r="B191" s="14" t="s">
        <v>287</v>
      </c>
      <c r="C191" s="193" t="s">
        <v>41</v>
      </c>
      <c r="D191" s="14" t="s">
        <v>290</v>
      </c>
      <c r="E191" s="14"/>
      <c r="F191" s="14"/>
      <c r="G191" s="14"/>
      <c r="H191" s="16">
        <f>400*211</f>
        <v>84400</v>
      </c>
      <c r="I191" s="14" t="s">
        <v>35</v>
      </c>
      <c r="J191" s="14" t="s">
        <v>41</v>
      </c>
      <c r="K191" s="17">
        <v>125</v>
      </c>
      <c r="L191" s="17">
        <f>0.903095*8.3454</f>
        <v>7.5366890129999993</v>
      </c>
      <c r="M191" s="18">
        <f t="shared" si="121"/>
        <v>11198.551493158182</v>
      </c>
      <c r="N191" s="18">
        <v>14021.706</v>
      </c>
      <c r="O191" s="16">
        <f t="shared" si="122"/>
        <v>11198.551493158182</v>
      </c>
      <c r="P191" s="14" t="s">
        <v>291</v>
      </c>
      <c r="Q191" s="14" t="s">
        <v>37</v>
      </c>
      <c r="R191" s="23">
        <v>211</v>
      </c>
      <c r="S191" s="119" t="s">
        <v>103</v>
      </c>
      <c r="T191" s="17">
        <f t="shared" si="123"/>
        <v>66.453582938388621</v>
      </c>
      <c r="U191" s="17">
        <f t="shared" si="124"/>
        <v>53.073703759043518</v>
      </c>
      <c r="V191" s="14"/>
      <c r="W191" s="14"/>
      <c r="X191" s="14"/>
      <c r="Y191" s="14"/>
      <c r="Z191" s="14"/>
      <c r="AA191" s="14"/>
      <c r="AB191" s="14"/>
      <c r="AC191" s="16" t="s">
        <v>39</v>
      </c>
      <c r="AD191" s="14"/>
    </row>
    <row r="192" spans="2:30">
      <c r="B192" s="14">
        <v>45582</v>
      </c>
      <c r="C192" s="193" t="s">
        <v>41</v>
      </c>
      <c r="D192" s="14" t="s">
        <v>292</v>
      </c>
      <c r="E192" s="14"/>
      <c r="F192" s="14"/>
      <c r="G192" s="14"/>
      <c r="H192" s="16">
        <v>86235</v>
      </c>
      <c r="I192" s="14" t="s">
        <v>35</v>
      </c>
      <c r="J192" s="14" t="s">
        <v>41</v>
      </c>
      <c r="K192" s="17">
        <v>125</v>
      </c>
      <c r="L192" s="17">
        <f>0.90326*8.3454</f>
        <v>7.5380660039999992</v>
      </c>
      <c r="M192" s="18">
        <f t="shared" si="121"/>
        <v>11439.936975112749</v>
      </c>
      <c r="N192" s="18">
        <v>14307.929</v>
      </c>
      <c r="O192" s="16">
        <f t="shared" si="122"/>
        <v>11439.936975112749</v>
      </c>
      <c r="P192" s="14" t="s">
        <v>36</v>
      </c>
      <c r="Q192" s="14" t="s">
        <v>37</v>
      </c>
      <c r="R192" s="53">
        <v>214</v>
      </c>
      <c r="S192" s="119" t="s">
        <v>103</v>
      </c>
      <c r="T192" s="17">
        <f t="shared" si="123"/>
        <v>66.859481308411219</v>
      </c>
      <c r="U192" s="17">
        <f t="shared" si="124"/>
        <v>53.457649416414711</v>
      </c>
      <c r="V192" s="14"/>
      <c r="W192" s="14"/>
      <c r="X192" s="14"/>
      <c r="Y192" s="14"/>
      <c r="Z192" s="14"/>
      <c r="AA192" s="14"/>
      <c r="AB192" s="14"/>
      <c r="AC192" s="16" t="s">
        <v>39</v>
      </c>
      <c r="AD192" s="14"/>
    </row>
    <row r="193" spans="2:30">
      <c r="B193" s="14">
        <v>45582</v>
      </c>
      <c r="C193" s="193" t="s">
        <v>41</v>
      </c>
      <c r="D193" s="14" t="s">
        <v>293</v>
      </c>
      <c r="E193" s="14"/>
      <c r="F193" s="14"/>
      <c r="G193" s="14"/>
      <c r="H193" s="16">
        <v>83455</v>
      </c>
      <c r="I193" s="14" t="s">
        <v>35</v>
      </c>
      <c r="J193" s="14" t="s">
        <v>41</v>
      </c>
      <c r="K193" s="17">
        <v>125</v>
      </c>
      <c r="L193" s="17">
        <f>0.903029*8.3454</f>
        <v>7.5361382165999995</v>
      </c>
      <c r="M193" s="18">
        <f>(H193/L193)</f>
        <v>11073.974176345657</v>
      </c>
      <c r="N193" s="18">
        <v>13872.367</v>
      </c>
      <c r="O193" s="16">
        <f>H193/L193</f>
        <v>11073.974176345657</v>
      </c>
      <c r="P193" s="14" t="s">
        <v>36</v>
      </c>
      <c r="Q193" s="14" t="s">
        <v>37</v>
      </c>
      <c r="R193" s="23">
        <v>212</v>
      </c>
      <c r="S193" s="119" t="s">
        <v>103</v>
      </c>
      <c r="T193" s="17">
        <f>(N193-V193)/R193</f>
        <v>65.435693396226412</v>
      </c>
      <c r="U193" s="17">
        <f>(O193-V193)/R193</f>
        <v>52.235727246913477</v>
      </c>
      <c r="V193" s="14"/>
      <c r="W193" s="14"/>
      <c r="X193" s="14"/>
      <c r="Y193" s="14"/>
      <c r="Z193" s="14"/>
      <c r="AA193" s="14"/>
      <c r="AB193" s="14"/>
      <c r="AC193" s="16" t="s">
        <v>39</v>
      </c>
      <c r="AD193" s="14"/>
    </row>
    <row r="194" spans="2:30">
      <c r="B194" s="14">
        <v>45582</v>
      </c>
      <c r="C194" s="193" t="s">
        <v>41</v>
      </c>
      <c r="D194" s="14" t="s">
        <v>294</v>
      </c>
      <c r="E194" s="14"/>
      <c r="F194" s="14"/>
      <c r="G194" s="14"/>
      <c r="H194" s="16">
        <f>400*221</f>
        <v>88400</v>
      </c>
      <c r="I194" s="14" t="s">
        <v>35</v>
      </c>
      <c r="J194" s="14" t="s">
        <v>41</v>
      </c>
      <c r="K194" s="16">
        <v>125.03</v>
      </c>
      <c r="L194" s="17">
        <f>0.903298*8.3454</f>
        <v>7.5383831292000005</v>
      </c>
      <c r="M194" s="18">
        <f>(H194/L194)</f>
        <v>11726.652583838799</v>
      </c>
      <c r="N194" s="18">
        <f>(M194*(K194/100))</f>
        <v>14661.83372557365</v>
      </c>
      <c r="O194" s="16">
        <f>H194/L194</f>
        <v>11726.652583838799</v>
      </c>
      <c r="P194" s="14" t="s">
        <v>36</v>
      </c>
      <c r="Q194" s="14" t="s">
        <v>37</v>
      </c>
      <c r="R194" s="23">
        <v>221</v>
      </c>
      <c r="S194" s="119" t="s">
        <v>103</v>
      </c>
      <c r="T194" s="17">
        <f>(N194-V194)/R194</f>
        <v>66.343139029745018</v>
      </c>
      <c r="U194" s="17">
        <f>(O194-V194)/R194</f>
        <v>53.061776397460626</v>
      </c>
      <c r="V194" s="14"/>
      <c r="W194" s="14"/>
      <c r="X194" s="14"/>
      <c r="Y194" s="14"/>
      <c r="Z194" s="14"/>
      <c r="AA194" s="14"/>
      <c r="AB194" s="14"/>
      <c r="AC194" s="16" t="s">
        <v>39</v>
      </c>
      <c r="AD194" s="14"/>
    </row>
    <row r="195" spans="2:30">
      <c r="B195" s="14">
        <v>45583</v>
      </c>
      <c r="C195" s="193" t="s">
        <v>41</v>
      </c>
      <c r="D195" s="14" t="s">
        <v>295</v>
      </c>
      <c r="E195" s="14"/>
      <c r="F195" s="14"/>
      <c r="G195" s="14"/>
      <c r="H195" s="16">
        <v>83560</v>
      </c>
      <c r="I195" s="14" t="s">
        <v>35</v>
      </c>
      <c r="J195" s="14" t="s">
        <v>41</v>
      </c>
      <c r="K195" s="17">
        <v>125</v>
      </c>
      <c r="L195" s="17">
        <f>0.903187*8.3454</f>
        <v>7.5374567897999993</v>
      </c>
      <c r="M195" s="18">
        <f>(H195/L195)</f>
        <v>11085.96736674854</v>
      </c>
      <c r="N195" s="18">
        <v>13871.870999999999</v>
      </c>
      <c r="O195" s="16">
        <f>H195/L195</f>
        <v>11085.96736674854</v>
      </c>
      <c r="P195" s="14" t="s">
        <v>36</v>
      </c>
      <c r="Q195" s="14" t="s">
        <v>37</v>
      </c>
      <c r="R195" s="23">
        <v>206</v>
      </c>
      <c r="S195" s="119" t="s">
        <v>103</v>
      </c>
      <c r="T195" s="17">
        <f>(N195-V195)/R195</f>
        <v>67.339179611650479</v>
      </c>
      <c r="U195" s="17">
        <f>(O195-V195)/R195</f>
        <v>53.815375566740485</v>
      </c>
      <c r="V195" s="14"/>
      <c r="W195" s="14"/>
      <c r="X195" s="14"/>
      <c r="Y195" s="14"/>
      <c r="Z195" s="14"/>
      <c r="AA195" s="14"/>
      <c r="AB195" s="14"/>
      <c r="AC195" s="16" t="s">
        <v>39</v>
      </c>
      <c r="AD195" s="14"/>
    </row>
    <row r="196" spans="2:30">
      <c r="B196" s="14">
        <v>45583</v>
      </c>
      <c r="C196" s="193" t="s">
        <v>41</v>
      </c>
      <c r="D196" s="14" t="s">
        <v>296</v>
      </c>
      <c r="E196" s="14"/>
      <c r="F196" s="14"/>
      <c r="G196" s="14"/>
      <c r="H196" s="16">
        <f>400*213</f>
        <v>85200</v>
      </c>
      <c r="I196" s="14" t="s">
        <v>35</v>
      </c>
      <c r="J196" s="14" t="s">
        <v>41</v>
      </c>
      <c r="K196" s="16">
        <v>125.02</v>
      </c>
      <c r="L196" s="17">
        <f>0.903319*8.3454</f>
        <v>7.5385583825999998</v>
      </c>
      <c r="M196" s="18">
        <f>(H196/L196)</f>
        <v>11301.895624586921</v>
      </c>
      <c r="N196" s="18">
        <f>(M196*(K196/100))</f>
        <v>14129.62990985857</v>
      </c>
      <c r="O196" s="16">
        <f>H196/L196</f>
        <v>11301.895624586921</v>
      </c>
      <c r="P196" s="14" t="s">
        <v>36</v>
      </c>
      <c r="Q196" s="14" t="s">
        <v>37</v>
      </c>
      <c r="R196" s="23">
        <v>214</v>
      </c>
      <c r="S196" s="119" t="s">
        <v>103</v>
      </c>
      <c r="T196" s="17">
        <f>(N196-V196)/R196</f>
        <v>66.026307989993313</v>
      </c>
      <c r="U196" s="17">
        <f>(O196-V196)/R196</f>
        <v>52.812596376574398</v>
      </c>
      <c r="V196" s="14"/>
      <c r="W196" s="14"/>
      <c r="X196" s="14"/>
      <c r="Y196" s="14"/>
      <c r="Z196" s="14"/>
      <c r="AA196" s="14"/>
      <c r="AB196" s="14"/>
      <c r="AC196" s="16" t="s">
        <v>39</v>
      </c>
      <c r="AD196" s="14"/>
    </row>
    <row r="197" spans="2:30">
      <c r="B197" s="14">
        <v>45586</v>
      </c>
      <c r="C197" s="105" t="s">
        <v>173</v>
      </c>
      <c r="D197" s="16" t="s">
        <v>297</v>
      </c>
      <c r="E197" s="16"/>
      <c r="F197" s="17"/>
      <c r="G197" s="16"/>
      <c r="H197" s="16">
        <v>89320</v>
      </c>
      <c r="I197" s="14" t="s">
        <v>35</v>
      </c>
      <c r="J197" s="14" t="s">
        <v>173</v>
      </c>
      <c r="K197" s="17">
        <v>120.19</v>
      </c>
      <c r="L197" s="17">
        <f>0.908783*8.3454</f>
        <v>7.5841576481999997</v>
      </c>
      <c r="M197" s="18">
        <f>(H197/L197)</f>
        <v>11777.181348702441</v>
      </c>
      <c r="N197" s="17">
        <f>(M197*(K197/100))</f>
        <v>14154.994263005463</v>
      </c>
      <c r="O197" s="17">
        <f>H197/L197</f>
        <v>11777.181348702441</v>
      </c>
      <c r="P197" s="14" t="s">
        <v>36</v>
      </c>
      <c r="Q197" s="14" t="s">
        <v>37</v>
      </c>
      <c r="R197" s="23">
        <v>221</v>
      </c>
      <c r="S197" s="119" t="s">
        <v>103</v>
      </c>
      <c r="T197" s="17">
        <f t="shared" si="59"/>
        <v>64.049747796404816</v>
      </c>
      <c r="U197" s="17">
        <f t="shared" si="60"/>
        <v>53.29041334254498</v>
      </c>
      <c r="V197" s="16"/>
      <c r="W197" s="16"/>
      <c r="X197" s="16"/>
      <c r="Y197" s="16"/>
      <c r="Z197" s="16"/>
      <c r="AA197" s="16"/>
      <c r="AB197" s="16"/>
      <c r="AC197" s="16" t="s">
        <v>39</v>
      </c>
      <c r="AD197" s="19"/>
    </row>
    <row r="198" spans="2:30">
      <c r="B198" s="14">
        <v>45586</v>
      </c>
      <c r="C198" s="105" t="s">
        <v>173</v>
      </c>
      <c r="D198" s="16" t="s">
        <v>298</v>
      </c>
      <c r="E198" s="16"/>
      <c r="F198" s="17"/>
      <c r="G198" s="16"/>
      <c r="H198" s="16">
        <v>81860</v>
      </c>
      <c r="I198" s="14" t="s">
        <v>35</v>
      </c>
      <c r="J198" s="14" t="s">
        <v>173</v>
      </c>
      <c r="K198" s="17">
        <v>120.24</v>
      </c>
      <c r="L198" s="17">
        <f>0.908736*8.3454</f>
        <v>7.5837654143999993</v>
      </c>
      <c r="M198" s="18">
        <f>(H198/L198)</f>
        <v>10794.110250900538</v>
      </c>
      <c r="N198" s="17">
        <f>(M198*(K198/100))</f>
        <v>12978.838165682806</v>
      </c>
      <c r="O198" s="17">
        <f>H198/L198</f>
        <v>10794.110250900538</v>
      </c>
      <c r="P198" s="14" t="s">
        <v>36</v>
      </c>
      <c r="Q198" s="14" t="s">
        <v>37</v>
      </c>
      <c r="R198" s="23">
        <v>206</v>
      </c>
      <c r="S198" s="119" t="s">
        <v>103</v>
      </c>
      <c r="T198" s="17">
        <f>(N198-V198)/R198</f>
        <v>63.004068765450512</v>
      </c>
      <c r="U198" s="17">
        <f>(O198-V198)/R198</f>
        <v>52.398593450973486</v>
      </c>
      <c r="V198" s="16"/>
      <c r="W198" s="16"/>
      <c r="X198" s="16"/>
      <c r="Y198" s="16"/>
      <c r="Z198" s="16"/>
      <c r="AA198" s="16"/>
      <c r="AB198" s="16"/>
      <c r="AC198" s="16" t="s">
        <v>39</v>
      </c>
      <c r="AD198" s="19"/>
    </row>
    <row r="199" spans="2:30">
      <c r="B199" s="14">
        <v>45586</v>
      </c>
      <c r="C199" s="105" t="s">
        <v>173</v>
      </c>
      <c r="D199" s="16" t="s">
        <v>299</v>
      </c>
      <c r="E199" s="16"/>
      <c r="F199" s="17"/>
      <c r="G199" s="16"/>
      <c r="H199" s="16">
        <v>88065</v>
      </c>
      <c r="I199" s="14" t="s">
        <v>35</v>
      </c>
      <c r="J199" s="14" t="s">
        <v>173</v>
      </c>
      <c r="K199" s="17">
        <v>119.88</v>
      </c>
      <c r="L199" s="17">
        <f>0.909138*8.3454</f>
        <v>7.5871202651999994</v>
      </c>
      <c r="M199" s="18">
        <f>(H199/L199)</f>
        <v>11607.170694779883</v>
      </c>
      <c r="N199" s="17">
        <f>(M199*(K199/100))</f>
        <v>13914.676228902123</v>
      </c>
      <c r="O199" s="17">
        <f>H199/L199</f>
        <v>11607.170694779883</v>
      </c>
      <c r="P199" s="14" t="s">
        <v>289</v>
      </c>
      <c r="Q199" s="14" t="s">
        <v>37</v>
      </c>
      <c r="R199" s="23">
        <v>219</v>
      </c>
      <c r="S199" s="119" t="s">
        <v>103</v>
      </c>
      <c r="T199" s="17">
        <f>(N199-V199)/R199</f>
        <v>63.537334378548508</v>
      </c>
      <c r="U199" s="17">
        <f>(O199-V199)/R199</f>
        <v>53.000779428218642</v>
      </c>
      <c r="V199" s="16"/>
      <c r="W199" s="16"/>
      <c r="X199" s="16"/>
      <c r="Y199" s="16"/>
      <c r="Z199" s="16"/>
      <c r="AA199" s="16"/>
      <c r="AB199" s="16"/>
      <c r="AC199" s="16" t="s">
        <v>39</v>
      </c>
      <c r="AD199" s="19"/>
    </row>
    <row r="200" spans="2:30">
      <c r="B200" s="14">
        <v>45587</v>
      </c>
      <c r="C200" s="105" t="s">
        <v>173</v>
      </c>
      <c r="D200" s="16" t="s">
        <v>300</v>
      </c>
      <c r="E200" s="16"/>
      <c r="F200" s="17"/>
      <c r="G200" s="16"/>
      <c r="H200" s="22">
        <f>402.5*229</f>
        <v>92172.5</v>
      </c>
      <c r="I200" s="14" t="s">
        <v>35</v>
      </c>
      <c r="J200" s="14" t="s">
        <v>173</v>
      </c>
      <c r="K200" s="17">
        <v>120.14</v>
      </c>
      <c r="L200" s="17">
        <f>0.908839*8.3454</f>
        <v>7.5846249905999992</v>
      </c>
      <c r="M200" s="18">
        <f>(H200/L200)</f>
        <v>12152.545460617228</v>
      </c>
      <c r="N200" s="17">
        <f>(M200*(K200/100))</f>
        <v>14600.068116385539</v>
      </c>
      <c r="O200" s="17">
        <f>H200/L200</f>
        <v>12152.545460617228</v>
      </c>
      <c r="P200" s="14" t="s">
        <v>291</v>
      </c>
      <c r="Q200" s="14" t="s">
        <v>37</v>
      </c>
      <c r="R200" s="23">
        <v>229</v>
      </c>
      <c r="S200" s="119" t="s">
        <v>103</v>
      </c>
      <c r="T200" s="17">
        <f>(N200-V200)/R200</f>
        <v>63.755755966749078</v>
      </c>
      <c r="U200" s="17">
        <f>(O200-V200)/R200</f>
        <v>53.067884107498813</v>
      </c>
      <c r="V200" s="16"/>
      <c r="W200" s="16"/>
      <c r="X200" s="16"/>
      <c r="Y200" s="16"/>
      <c r="Z200" s="16"/>
      <c r="AA200" s="16"/>
      <c r="AB200" s="16"/>
      <c r="AC200" s="16" t="s">
        <v>39</v>
      </c>
      <c r="AD200" s="19"/>
    </row>
    <row r="201" spans="2:30">
      <c r="B201" s="14">
        <v>45587</v>
      </c>
      <c r="C201" s="105" t="s">
        <v>173</v>
      </c>
      <c r="D201" s="16" t="s">
        <v>301</v>
      </c>
      <c r="E201" s="16"/>
      <c r="F201" s="17"/>
      <c r="G201" s="16"/>
      <c r="H201" s="22">
        <f>402.5*175</f>
        <v>70437.5</v>
      </c>
      <c r="I201" s="14" t="s">
        <v>35</v>
      </c>
      <c r="J201" s="14" t="s">
        <v>173</v>
      </c>
      <c r="K201" s="17">
        <v>119.81</v>
      </c>
      <c r="L201" s="17">
        <f>0.909217*8.3454</f>
        <v>7.5877795517999997</v>
      </c>
      <c r="M201" s="18">
        <f>(H201/L201)</f>
        <v>9283.0187697388446</v>
      </c>
      <c r="N201" s="17">
        <f>(M201*(K201/100))</f>
        <v>11121.984788024109</v>
      </c>
      <c r="O201" s="17">
        <f>H201/L201</f>
        <v>9283.0187697388446</v>
      </c>
      <c r="P201" s="14" t="s">
        <v>36</v>
      </c>
      <c r="Q201" s="14" t="s">
        <v>37</v>
      </c>
      <c r="R201" s="23">
        <v>175</v>
      </c>
      <c r="S201" s="119" t="s">
        <v>103</v>
      </c>
      <c r="T201" s="17">
        <f t="shared" si="59"/>
        <v>63.554198788709193</v>
      </c>
      <c r="U201" s="17">
        <f t="shared" si="60"/>
        <v>53.045821541364823</v>
      </c>
      <c r="V201" s="16"/>
      <c r="W201" s="16"/>
      <c r="X201" s="16"/>
      <c r="Y201" s="16"/>
      <c r="Z201" s="16"/>
      <c r="AA201" s="16"/>
      <c r="AB201" s="16"/>
      <c r="AC201" s="16" t="s">
        <v>39</v>
      </c>
      <c r="AD201" s="19"/>
    </row>
    <row r="202" spans="2:30">
      <c r="B202" s="14">
        <v>45588</v>
      </c>
      <c r="C202" s="105" t="s">
        <v>167</v>
      </c>
      <c r="D202" s="16" t="s">
        <v>302</v>
      </c>
      <c r="E202" s="16"/>
      <c r="F202" s="17"/>
      <c r="G202" s="16" t="s">
        <v>106</v>
      </c>
      <c r="H202" s="16">
        <v>84135</v>
      </c>
      <c r="I202" s="16" t="s">
        <v>35</v>
      </c>
      <c r="J202" s="105" t="s">
        <v>167</v>
      </c>
      <c r="K202" s="127">
        <v>120.04</v>
      </c>
      <c r="L202" s="17">
        <f>0.908953*8.3454</f>
        <v>7.5855763661999998</v>
      </c>
      <c r="M202" s="18">
        <f t="shared" si="56"/>
        <v>11091.444596733721</v>
      </c>
      <c r="N202" s="17">
        <f t="shared" ref="N202:N246" si="126">(M202*(K202/100))</f>
        <v>13314.170093919161</v>
      </c>
      <c r="O202" s="17">
        <f t="shared" si="58"/>
        <v>11091.444596733721</v>
      </c>
      <c r="P202" s="14" t="s">
        <v>36</v>
      </c>
      <c r="Q202" s="14" t="s">
        <v>37</v>
      </c>
      <c r="R202" s="23">
        <v>207</v>
      </c>
      <c r="S202" s="119" t="s">
        <v>103</v>
      </c>
      <c r="T202" s="17">
        <f t="shared" ref="T202:T245" si="127">(N202-V202)/R202</f>
        <v>64.319662289464546</v>
      </c>
      <c r="U202" s="17">
        <f t="shared" ref="U202:U246" si="128">(O202-V202)/R202</f>
        <v>53.581857955235371</v>
      </c>
      <c r="V202" s="16"/>
      <c r="W202" s="16"/>
      <c r="X202" s="16"/>
      <c r="Y202" s="16"/>
      <c r="Z202" s="16"/>
      <c r="AA202" s="16"/>
      <c r="AB202" s="16"/>
      <c r="AC202" s="16" t="s">
        <v>39</v>
      </c>
      <c r="AD202" s="19"/>
    </row>
    <row r="203" spans="2:30">
      <c r="B203" s="14">
        <v>45588</v>
      </c>
      <c r="C203" s="105" t="s">
        <v>167</v>
      </c>
      <c r="D203" s="16" t="s">
        <v>303</v>
      </c>
      <c r="E203" s="16"/>
      <c r="F203" s="17"/>
      <c r="G203" s="16" t="s">
        <v>106</v>
      </c>
      <c r="H203" s="16">
        <f>211*402.5</f>
        <v>84927.5</v>
      </c>
      <c r="I203" s="16" t="s">
        <v>35</v>
      </c>
      <c r="J203" s="105" t="s">
        <v>167</v>
      </c>
      <c r="K203" s="17">
        <v>120.13</v>
      </c>
      <c r="L203" s="17">
        <f>0.908858*8.3454</f>
        <v>7.5847835532000003</v>
      </c>
      <c r="M203" s="18">
        <f t="shared" si="56"/>
        <v>11197.089462647791</v>
      </c>
      <c r="N203" s="17">
        <f t="shared" si="126"/>
        <v>13451.063571478791</v>
      </c>
      <c r="O203" s="17">
        <f t="shared" si="58"/>
        <v>11197.089462647791</v>
      </c>
      <c r="P203" s="14" t="s">
        <v>36</v>
      </c>
      <c r="Q203" s="14" t="s">
        <v>37</v>
      </c>
      <c r="R203" s="23">
        <v>211</v>
      </c>
      <c r="S203" s="119" t="s">
        <v>103</v>
      </c>
      <c r="T203" s="17">
        <f t="shared" si="127"/>
        <v>63.749116452506122</v>
      </c>
      <c r="U203" s="17">
        <f t="shared" si="128"/>
        <v>53.066774704491898</v>
      </c>
      <c r="V203" s="16"/>
      <c r="W203" s="16"/>
      <c r="X203" s="16"/>
      <c r="Y203" s="16"/>
      <c r="Z203" s="16"/>
      <c r="AA203" s="16"/>
      <c r="AB203" s="16"/>
      <c r="AC203" s="16" t="s">
        <v>39</v>
      </c>
      <c r="AD203" s="19"/>
    </row>
    <row r="204" spans="2:30">
      <c r="B204" s="14">
        <v>45588</v>
      </c>
      <c r="C204" s="105" t="s">
        <v>167</v>
      </c>
      <c r="D204" s="16" t="s">
        <v>304</v>
      </c>
      <c r="E204" s="16"/>
      <c r="F204" s="17"/>
      <c r="G204" s="16" t="s">
        <v>106</v>
      </c>
      <c r="H204" s="16">
        <v>83255</v>
      </c>
      <c r="I204" s="16" t="s">
        <v>35</v>
      </c>
      <c r="J204" s="105" t="s">
        <v>167</v>
      </c>
      <c r="K204" s="17">
        <v>120.26</v>
      </c>
      <c r="L204" s="17">
        <f>0.908704*8.3454</f>
        <v>7.5834983615999993</v>
      </c>
      <c r="M204" s="18">
        <f t="shared" si="56"/>
        <v>10978.442406155475</v>
      </c>
      <c r="N204" s="17">
        <f t="shared" si="126"/>
        <v>13202.674837642575</v>
      </c>
      <c r="O204" s="17">
        <f t="shared" si="58"/>
        <v>10978.442406155475</v>
      </c>
      <c r="P204" s="14" t="s">
        <v>36</v>
      </c>
      <c r="Q204" s="14" t="s">
        <v>37</v>
      </c>
      <c r="R204" s="23">
        <v>205</v>
      </c>
      <c r="S204" s="119" t="s">
        <v>103</v>
      </c>
      <c r="T204" s="17">
        <f t="shared" si="127"/>
        <v>64.403291890939386</v>
      </c>
      <c r="U204" s="17">
        <f t="shared" si="128"/>
        <v>53.553377591002317</v>
      </c>
      <c r="V204" s="16"/>
      <c r="W204" s="16"/>
      <c r="X204" s="16"/>
      <c r="Y204" s="16"/>
      <c r="Z204" s="16"/>
      <c r="AA204" s="16"/>
      <c r="AB204" s="16"/>
      <c r="AC204" s="16" t="s">
        <v>39</v>
      </c>
      <c r="AD204" s="19"/>
    </row>
    <row r="205" spans="2:30">
      <c r="B205" s="14">
        <v>45589</v>
      </c>
      <c r="C205" s="105" t="s">
        <v>167</v>
      </c>
      <c r="D205" s="16" t="s">
        <v>305</v>
      </c>
      <c r="E205" s="16"/>
      <c r="F205" s="17"/>
      <c r="G205" s="16" t="s">
        <v>106</v>
      </c>
      <c r="H205" s="16">
        <v>81135</v>
      </c>
      <c r="I205" s="16" t="s">
        <v>35</v>
      </c>
      <c r="J205" s="105" t="s">
        <v>167</v>
      </c>
      <c r="K205" s="17">
        <v>120.22</v>
      </c>
      <c r="L205" s="17">
        <f>0.908753*8.3454</f>
        <v>7.5839072861999997</v>
      </c>
      <c r="M205" s="18">
        <f t="shared" si="56"/>
        <v>10698.311165754452</v>
      </c>
      <c r="N205" s="17">
        <f t="shared" si="126"/>
        <v>12861.509683470002</v>
      </c>
      <c r="O205" s="17">
        <f t="shared" si="58"/>
        <v>10698.311165754452</v>
      </c>
      <c r="P205" s="14" t="s">
        <v>36</v>
      </c>
      <c r="Q205" s="14" t="s">
        <v>37</v>
      </c>
      <c r="R205" s="23">
        <v>202</v>
      </c>
      <c r="S205" s="119" t="s">
        <v>103</v>
      </c>
      <c r="T205" s="17">
        <f t="shared" si="127"/>
        <v>63.670840017178229</v>
      </c>
      <c r="U205" s="17">
        <f t="shared" si="128"/>
        <v>52.96193646413095</v>
      </c>
      <c r="V205" s="16"/>
      <c r="W205" s="16"/>
      <c r="X205" s="16"/>
      <c r="Y205" s="16"/>
      <c r="Z205" s="16"/>
      <c r="AA205" s="16"/>
      <c r="AB205" s="16"/>
      <c r="AC205" s="16" t="s">
        <v>39</v>
      </c>
      <c r="AD205" s="19"/>
    </row>
    <row r="206" spans="2:30">
      <c r="B206" s="14">
        <v>45589</v>
      </c>
      <c r="C206" s="105" t="s">
        <v>167</v>
      </c>
      <c r="D206" s="16" t="s">
        <v>306</v>
      </c>
      <c r="E206" s="16"/>
      <c r="F206" s="17"/>
      <c r="G206" s="16" t="s">
        <v>106</v>
      </c>
      <c r="H206" s="22">
        <f>402.5*37</f>
        <v>14892.5</v>
      </c>
      <c r="I206" s="16" t="s">
        <v>35</v>
      </c>
      <c r="J206" s="105" t="s">
        <v>167</v>
      </c>
      <c r="K206" s="17">
        <v>119.76</v>
      </c>
      <c r="L206" s="17">
        <f>0.909274*8.3454</f>
        <v>7.5882552395999996</v>
      </c>
      <c r="M206" s="18">
        <f t="shared" si="56"/>
        <v>1962.5723608086</v>
      </c>
      <c r="N206" s="17">
        <f t="shared" si="126"/>
        <v>2350.3766593043792</v>
      </c>
      <c r="O206" s="17">
        <f t="shared" si="58"/>
        <v>1962.5723608086</v>
      </c>
      <c r="P206" s="14" t="s">
        <v>36</v>
      </c>
      <c r="Q206" s="14" t="s">
        <v>37</v>
      </c>
      <c r="R206" s="23">
        <v>37</v>
      </c>
      <c r="S206" s="119" t="s">
        <v>103</v>
      </c>
      <c r="T206" s="17">
        <f t="shared" si="127"/>
        <v>63.523693494712951</v>
      </c>
      <c r="U206" s="17">
        <f t="shared" si="128"/>
        <v>53.042496238070271</v>
      </c>
      <c r="V206" s="16"/>
      <c r="W206" s="16"/>
      <c r="X206" s="16"/>
      <c r="Y206" s="16"/>
      <c r="Z206" s="16"/>
      <c r="AA206" s="16"/>
      <c r="AB206" s="16"/>
      <c r="AC206" s="16" t="s">
        <v>39</v>
      </c>
      <c r="AD206" s="19"/>
    </row>
    <row r="207" spans="2:30">
      <c r="B207" s="14">
        <v>45589</v>
      </c>
      <c r="C207" s="105" t="s">
        <v>307</v>
      </c>
      <c r="D207" s="16" t="s">
        <v>308</v>
      </c>
      <c r="E207" s="16"/>
      <c r="F207" s="17"/>
      <c r="G207" s="16" t="s">
        <v>106</v>
      </c>
      <c r="H207" s="16">
        <v>71441</v>
      </c>
      <c r="I207" s="16" t="s">
        <v>35</v>
      </c>
      <c r="J207" s="105" t="s">
        <v>307</v>
      </c>
      <c r="K207" s="127">
        <v>125</v>
      </c>
      <c r="L207" s="17">
        <f>0.903015*8.3454</f>
        <v>7.5360213809999994</v>
      </c>
      <c r="M207" s="18">
        <f t="shared" ref="M207:M258" si="129">(H207/L207)</f>
        <v>9479.9359487114507</v>
      </c>
      <c r="N207" s="17">
        <v>11876.46</v>
      </c>
      <c r="O207" s="17">
        <f t="shared" ref="O207:O258" si="130">H207/L207</f>
        <v>9479.9359487114507</v>
      </c>
      <c r="P207" s="14" t="s">
        <v>36</v>
      </c>
      <c r="Q207" s="14" t="s">
        <v>37</v>
      </c>
      <c r="R207" s="23">
        <v>178</v>
      </c>
      <c r="S207" s="119" t="s">
        <v>103</v>
      </c>
      <c r="T207" s="17">
        <f t="shared" si="127"/>
        <v>66.721685393258426</v>
      </c>
      <c r="U207" s="17">
        <f t="shared" si="128"/>
        <v>53.258067127592419</v>
      </c>
      <c r="V207" s="16"/>
      <c r="W207" s="16"/>
      <c r="X207" s="16"/>
      <c r="Y207" s="16"/>
      <c r="Z207" s="16"/>
      <c r="AA207" s="16"/>
      <c r="AB207" s="16"/>
      <c r="AC207" s="16" t="s">
        <v>39</v>
      </c>
      <c r="AD207" s="19"/>
    </row>
    <row r="208" spans="2:30">
      <c r="B208" s="14">
        <v>45589</v>
      </c>
      <c r="C208" s="105" t="s">
        <v>307</v>
      </c>
      <c r="D208" s="16" t="s">
        <v>309</v>
      </c>
      <c r="E208" s="16"/>
      <c r="F208" s="17"/>
      <c r="G208" s="16" t="s">
        <v>106</v>
      </c>
      <c r="H208" s="16">
        <v>51870</v>
      </c>
      <c r="I208" s="16" t="s">
        <v>35</v>
      </c>
      <c r="J208" s="105" t="s">
        <v>307</v>
      </c>
      <c r="K208" s="127">
        <v>125</v>
      </c>
      <c r="L208" s="17">
        <f>0.903015*8.3454</f>
        <v>7.5360213809999994</v>
      </c>
      <c r="M208" s="18">
        <f t="shared" si="129"/>
        <v>6882.9422552828619</v>
      </c>
      <c r="N208" s="17">
        <v>8622.9500000000007</v>
      </c>
      <c r="O208" s="17">
        <f t="shared" si="130"/>
        <v>6882.9422552828619</v>
      </c>
      <c r="P208" s="14" t="s">
        <v>36</v>
      </c>
      <c r="Q208" s="14" t="s">
        <v>37</v>
      </c>
      <c r="R208" s="23">
        <v>129</v>
      </c>
      <c r="S208" s="119" t="s">
        <v>103</v>
      </c>
      <c r="T208" s="17">
        <f t="shared" si="127"/>
        <v>66.844573643410854</v>
      </c>
      <c r="U208" s="17">
        <f t="shared" si="128"/>
        <v>53.356141513820631</v>
      </c>
      <c r="V208" s="16"/>
      <c r="W208" s="16"/>
      <c r="X208" s="16"/>
      <c r="Y208" s="16"/>
      <c r="Z208" s="16"/>
      <c r="AA208" s="16"/>
      <c r="AB208" s="16"/>
      <c r="AC208" s="16" t="s">
        <v>39</v>
      </c>
      <c r="AD208" s="19"/>
    </row>
    <row r="209" spans="2:30">
      <c r="B209" s="14">
        <v>45590</v>
      </c>
      <c r="C209" s="105" t="s">
        <v>307</v>
      </c>
      <c r="D209" s="16" t="s">
        <v>310</v>
      </c>
      <c r="E209" s="16"/>
      <c r="F209" s="17"/>
      <c r="G209" s="16"/>
      <c r="H209" s="16">
        <f>400*203</f>
        <v>81200</v>
      </c>
      <c r="I209" s="16" t="s">
        <v>35</v>
      </c>
      <c r="J209" s="105" t="s">
        <v>307</v>
      </c>
      <c r="K209" s="17">
        <v>124.84</v>
      </c>
      <c r="L209" s="17">
        <f>0.903522*8.3454</f>
        <v>7.5402524988000001</v>
      </c>
      <c r="M209" s="18">
        <f t="shared" ref="M209:M217" si="131">(H209/L209)</f>
        <v>10768.870142335769</v>
      </c>
      <c r="N209" s="17">
        <f t="shared" ref="N209:N217" si="132">(M209*(K209/100))</f>
        <v>13443.857485691973</v>
      </c>
      <c r="O209" s="17">
        <f t="shared" ref="O209:O217" si="133">H209/L209</f>
        <v>10768.870142335769</v>
      </c>
      <c r="P209" s="14" t="s">
        <v>36</v>
      </c>
      <c r="Q209" s="14" t="s">
        <v>37</v>
      </c>
      <c r="R209" s="23">
        <v>203</v>
      </c>
      <c r="S209" s="119" t="s">
        <v>103</v>
      </c>
      <c r="T209" s="17">
        <f t="shared" ref="T209:T217" si="134">(N209-V209)/R209</f>
        <v>66.225898944295437</v>
      </c>
      <c r="U209" s="17">
        <f t="shared" ref="U209:U217" si="135">(O209-V209)/R209</f>
        <v>53.048621390816592</v>
      </c>
      <c r="V209" s="16"/>
      <c r="W209" s="16"/>
      <c r="X209" s="16"/>
      <c r="Y209" s="16"/>
      <c r="Z209" s="16"/>
      <c r="AA209" s="16"/>
      <c r="AB209" s="16"/>
      <c r="AC209" s="16" t="s">
        <v>39</v>
      </c>
      <c r="AD209" s="19"/>
    </row>
    <row r="210" spans="2:30">
      <c r="B210" s="14">
        <v>45590</v>
      </c>
      <c r="C210" s="105" t="s">
        <v>307</v>
      </c>
      <c r="D210" s="16" t="s">
        <v>311</v>
      </c>
      <c r="E210" s="16"/>
      <c r="F210" s="17"/>
      <c r="G210" s="16"/>
      <c r="H210" s="16">
        <f>400*197</f>
        <v>78800</v>
      </c>
      <c r="I210" s="16" t="s">
        <v>35</v>
      </c>
      <c r="J210" s="105" t="s">
        <v>307</v>
      </c>
      <c r="K210" s="17">
        <v>125</v>
      </c>
      <c r="L210" s="17">
        <f>0.903067*8.3454</f>
        <v>7.5364553417999991</v>
      </c>
      <c r="M210" s="18">
        <f t="shared" si="131"/>
        <v>10455.843818637886</v>
      </c>
      <c r="N210" s="17">
        <v>13094.9</v>
      </c>
      <c r="O210" s="17">
        <f t="shared" si="133"/>
        <v>10455.843818637886</v>
      </c>
      <c r="P210" s="14" t="s">
        <v>36</v>
      </c>
      <c r="Q210" s="14" t="s">
        <v>37</v>
      </c>
      <c r="R210" s="23">
        <v>196</v>
      </c>
      <c r="S210" s="119" t="s">
        <v>103</v>
      </c>
      <c r="T210" s="17">
        <f t="shared" si="134"/>
        <v>66.810714285714283</v>
      </c>
      <c r="U210" s="17">
        <f t="shared" si="135"/>
        <v>53.346141931825947</v>
      </c>
      <c r="V210" s="16"/>
      <c r="W210" s="16"/>
      <c r="X210" s="16"/>
      <c r="Y210" s="16"/>
      <c r="Z210" s="16"/>
      <c r="AA210" s="16"/>
      <c r="AB210" s="16"/>
      <c r="AC210" s="16" t="s">
        <v>39</v>
      </c>
      <c r="AD210" s="19"/>
    </row>
    <row r="211" spans="2:30">
      <c r="B211" s="140">
        <v>45590</v>
      </c>
      <c r="C211" s="105" t="s">
        <v>307</v>
      </c>
      <c r="D211" s="23" t="s">
        <v>312</v>
      </c>
      <c r="E211" s="16"/>
      <c r="F211" s="17"/>
      <c r="G211" s="16"/>
      <c r="H211" s="16">
        <f>400*116</f>
        <v>46400</v>
      </c>
      <c r="I211" s="16" t="s">
        <v>35</v>
      </c>
      <c r="J211" s="105" t="s">
        <v>307</v>
      </c>
      <c r="K211" s="17">
        <v>125</v>
      </c>
      <c r="L211" s="17">
        <f>0.903043*8.3454</f>
        <v>7.5362550522000005</v>
      </c>
      <c r="M211" s="18">
        <f t="shared" si="131"/>
        <v>6156.9041491575854</v>
      </c>
      <c r="N211" s="17">
        <v>7711.52</v>
      </c>
      <c r="O211" s="17">
        <f t="shared" si="133"/>
        <v>6156.9041491575854</v>
      </c>
      <c r="P211" s="14" t="s">
        <v>36</v>
      </c>
      <c r="Q211" s="14" t="s">
        <v>37</v>
      </c>
      <c r="R211" s="23">
        <v>116</v>
      </c>
      <c r="S211" s="119" t="s">
        <v>103</v>
      </c>
      <c r="T211" s="17">
        <f t="shared" si="134"/>
        <v>66.478620689655173</v>
      </c>
      <c r="U211" s="17">
        <f t="shared" si="135"/>
        <v>53.07675990653091</v>
      </c>
      <c r="V211" s="16"/>
      <c r="W211" s="16"/>
      <c r="X211" s="16"/>
      <c r="Y211" s="16"/>
      <c r="Z211" s="16"/>
      <c r="AA211" s="16"/>
      <c r="AB211" s="16"/>
      <c r="AC211" s="16" t="s">
        <v>39</v>
      </c>
      <c r="AD211" s="19"/>
    </row>
    <row r="212" spans="2:30">
      <c r="B212" s="14">
        <v>45593</v>
      </c>
      <c r="C212" s="105" t="s">
        <v>307</v>
      </c>
      <c r="D212" s="16" t="s">
        <v>313</v>
      </c>
      <c r="E212" s="16"/>
      <c r="F212" s="17"/>
      <c r="G212" s="16"/>
      <c r="H212" s="16">
        <v>82235</v>
      </c>
      <c r="I212" s="16" t="s">
        <v>35</v>
      </c>
      <c r="J212" s="105" t="s">
        <v>307</v>
      </c>
      <c r="K212" s="17">
        <v>124.9</v>
      </c>
      <c r="L212" s="17">
        <f>0.903455*8.3454</f>
        <v>7.539693357</v>
      </c>
      <c r="M212" s="18">
        <f t="shared" si="131"/>
        <v>10906.942246351624</v>
      </c>
      <c r="N212" s="17">
        <f t="shared" si="132"/>
        <v>13622.770865693179</v>
      </c>
      <c r="O212" s="17">
        <f t="shared" si="133"/>
        <v>10906.942246351624</v>
      </c>
      <c r="P212" s="14" t="s">
        <v>36</v>
      </c>
      <c r="Q212" s="14" t="s">
        <v>37</v>
      </c>
      <c r="R212" s="23">
        <v>203</v>
      </c>
      <c r="S212" s="119" t="s">
        <v>103</v>
      </c>
      <c r="T212" s="17">
        <f t="shared" si="134"/>
        <v>67.107245643808767</v>
      </c>
      <c r="U212" s="17">
        <f t="shared" si="135"/>
        <v>53.728779538677948</v>
      </c>
      <c r="V212" s="16"/>
      <c r="W212" s="16"/>
      <c r="X212" s="16"/>
      <c r="Y212" s="16"/>
      <c r="Z212" s="16"/>
      <c r="AA212" s="16"/>
      <c r="AB212" s="16"/>
      <c r="AC212" s="16" t="s">
        <v>39</v>
      </c>
      <c r="AD212" s="19"/>
    </row>
    <row r="213" spans="2:30">
      <c r="B213" s="14">
        <v>45593</v>
      </c>
      <c r="C213" s="105" t="s">
        <v>307</v>
      </c>
      <c r="D213" s="16" t="s">
        <v>314</v>
      </c>
      <c r="E213" s="16"/>
      <c r="F213" s="17"/>
      <c r="G213" s="16"/>
      <c r="H213" s="16">
        <f>208*400</f>
        <v>83200</v>
      </c>
      <c r="I213" s="16" t="s">
        <v>35</v>
      </c>
      <c r="J213" s="105" t="s">
        <v>307</v>
      </c>
      <c r="K213" s="17">
        <v>125</v>
      </c>
      <c r="L213" s="17">
        <f>0.903261*8.3454</f>
        <v>7.5380743493999995</v>
      </c>
      <c r="M213" s="18">
        <f t="shared" si="131"/>
        <v>11037.301589712019</v>
      </c>
      <c r="N213" s="17">
        <v>13804.35</v>
      </c>
      <c r="O213" s="17">
        <f t="shared" si="133"/>
        <v>11037.301589712019</v>
      </c>
      <c r="P213" s="16" t="s">
        <v>92</v>
      </c>
      <c r="Q213" s="14" t="s">
        <v>37</v>
      </c>
      <c r="R213" s="23">
        <v>208</v>
      </c>
      <c r="S213" s="119" t="s">
        <v>103</v>
      </c>
      <c r="T213" s="17">
        <f t="shared" si="134"/>
        <v>66.367067307692309</v>
      </c>
      <c r="U213" s="17">
        <f t="shared" si="135"/>
        <v>53.06394995053855</v>
      </c>
      <c r="V213" s="16"/>
      <c r="W213" s="16"/>
      <c r="X213" s="16"/>
      <c r="Y213" s="16"/>
      <c r="Z213" s="16"/>
      <c r="AA213" s="16"/>
      <c r="AB213" s="16"/>
      <c r="AC213" s="16" t="s">
        <v>39</v>
      </c>
      <c r="AD213" s="19"/>
    </row>
    <row r="214" spans="2:30">
      <c r="B214" s="14">
        <v>45593</v>
      </c>
      <c r="C214" s="105" t="s">
        <v>307</v>
      </c>
      <c r="D214" s="16" t="s">
        <v>315</v>
      </c>
      <c r="E214" s="16"/>
      <c r="F214" s="17"/>
      <c r="G214" s="16"/>
      <c r="H214" s="16">
        <v>84715</v>
      </c>
      <c r="I214" s="16" t="s">
        <v>35</v>
      </c>
      <c r="J214" s="105" t="s">
        <v>307</v>
      </c>
      <c r="K214" s="17">
        <v>124.85</v>
      </c>
      <c r="L214" s="17">
        <f>0.903509*8.3454</f>
        <v>7.5401440085999996</v>
      </c>
      <c r="M214" s="18">
        <f t="shared" si="131"/>
        <v>11235.196556375755</v>
      </c>
      <c r="N214" s="17">
        <f t="shared" si="132"/>
        <v>14027.14290063513</v>
      </c>
      <c r="O214" s="17">
        <f t="shared" si="133"/>
        <v>11235.196556375755</v>
      </c>
      <c r="P214" s="16" t="s">
        <v>92</v>
      </c>
      <c r="Q214" s="14" t="s">
        <v>37</v>
      </c>
      <c r="R214" s="23">
        <v>209</v>
      </c>
      <c r="S214" s="119" t="s">
        <v>103</v>
      </c>
      <c r="T214" s="17">
        <f t="shared" si="134"/>
        <v>67.115516270981487</v>
      </c>
      <c r="U214" s="17">
        <f t="shared" si="135"/>
        <v>53.75692132237203</v>
      </c>
      <c r="V214" s="16"/>
      <c r="W214" s="16"/>
      <c r="X214" s="16"/>
      <c r="Y214" s="16"/>
      <c r="Z214" s="16"/>
      <c r="AA214" s="16"/>
      <c r="AB214" s="16"/>
      <c r="AC214" s="16" t="s">
        <v>39</v>
      </c>
      <c r="AD214" s="19"/>
    </row>
    <row r="215" spans="2:30">
      <c r="B215" s="14">
        <v>45593</v>
      </c>
      <c r="C215" s="105" t="s">
        <v>307</v>
      </c>
      <c r="D215" s="16" t="s">
        <v>316</v>
      </c>
      <c r="E215" s="16"/>
      <c r="F215" s="17"/>
      <c r="G215" s="16"/>
      <c r="H215" s="16">
        <f>400*208</f>
        <v>83200</v>
      </c>
      <c r="I215" s="16" t="s">
        <v>35</v>
      </c>
      <c r="J215" s="105" t="s">
        <v>307</v>
      </c>
      <c r="K215" s="17">
        <v>124.88</v>
      </c>
      <c r="L215" s="17">
        <f>0.903471*8.3454</f>
        <v>7.5398268834</v>
      </c>
      <c r="M215" s="18">
        <f t="shared" si="131"/>
        <v>11034.73611352757</v>
      </c>
      <c r="N215" s="17">
        <f t="shared" si="132"/>
        <v>13780.178458573228</v>
      </c>
      <c r="O215" s="17">
        <f t="shared" si="133"/>
        <v>11034.73611352757</v>
      </c>
      <c r="P215" s="16" t="s">
        <v>92</v>
      </c>
      <c r="Q215" s="14" t="s">
        <v>37</v>
      </c>
      <c r="R215" s="23">
        <v>208</v>
      </c>
      <c r="S215" s="119" t="s">
        <v>103</v>
      </c>
      <c r="T215" s="17">
        <f t="shared" si="134"/>
        <v>66.250857973909746</v>
      </c>
      <c r="U215" s="17">
        <f t="shared" si="135"/>
        <v>53.051615930421008</v>
      </c>
      <c r="V215" s="16"/>
      <c r="W215" s="16"/>
      <c r="X215" s="16"/>
      <c r="Y215" s="16"/>
      <c r="Z215" s="16"/>
      <c r="AA215" s="16"/>
      <c r="AB215" s="16"/>
      <c r="AC215" s="16" t="s">
        <v>39</v>
      </c>
      <c r="AD215" s="19"/>
    </row>
    <row r="216" spans="2:30">
      <c r="B216" s="14">
        <v>45594</v>
      </c>
      <c r="C216" s="105" t="s">
        <v>307</v>
      </c>
      <c r="D216" s="16" t="s">
        <v>317</v>
      </c>
      <c r="E216" s="16"/>
      <c r="F216" s="17"/>
      <c r="G216" s="16"/>
      <c r="H216" s="16">
        <v>83750</v>
      </c>
      <c r="I216" s="16" t="s">
        <v>35</v>
      </c>
      <c r="J216" s="105" t="s">
        <v>307</v>
      </c>
      <c r="K216" s="17">
        <v>125</v>
      </c>
      <c r="L216" s="17">
        <f>0.903135*8.3454</f>
        <v>7.5370228289999996</v>
      </c>
      <c r="M216" s="18">
        <f t="shared" si="131"/>
        <v>11111.814558628825</v>
      </c>
      <c r="N216" s="17">
        <v>13909.77</v>
      </c>
      <c r="O216" s="17">
        <f t="shared" si="133"/>
        <v>11111.814558628825</v>
      </c>
      <c r="P216" s="16" t="s">
        <v>92</v>
      </c>
      <c r="Q216" s="14" t="s">
        <v>37</v>
      </c>
      <c r="R216" s="23">
        <v>207</v>
      </c>
      <c r="S216" s="119" t="s">
        <v>103</v>
      </c>
      <c r="T216" s="17">
        <f t="shared" si="134"/>
        <v>67.196956521739139</v>
      </c>
      <c r="U216" s="17">
        <f t="shared" si="135"/>
        <v>53.680263568255192</v>
      </c>
      <c r="V216" s="16"/>
      <c r="W216" s="16"/>
      <c r="X216" s="16"/>
      <c r="Y216" s="16"/>
      <c r="Z216" s="16"/>
      <c r="AA216" s="16"/>
      <c r="AB216" s="16"/>
      <c r="AC216" s="16" t="s">
        <v>39</v>
      </c>
      <c r="AD216" s="19"/>
    </row>
    <row r="217" spans="2:30">
      <c r="B217" s="14">
        <v>45594</v>
      </c>
      <c r="C217" s="105" t="s">
        <v>307</v>
      </c>
      <c r="D217" s="16" t="s">
        <v>318</v>
      </c>
      <c r="E217" s="16"/>
      <c r="F217" s="17"/>
      <c r="G217" s="16"/>
      <c r="H217" s="16">
        <v>81340</v>
      </c>
      <c r="I217" s="16" t="s">
        <v>35</v>
      </c>
      <c r="J217" s="105" t="s">
        <v>307</v>
      </c>
      <c r="K217" s="17">
        <v>125.03</v>
      </c>
      <c r="L217" s="17">
        <f>0.9033*8.3454</f>
        <v>7.5383998199999995</v>
      </c>
      <c r="M217" s="18">
        <f t="shared" si="131"/>
        <v>10790.088339994682</v>
      </c>
      <c r="N217" s="17">
        <f t="shared" si="132"/>
        <v>13490.84745149535</v>
      </c>
      <c r="O217" s="17">
        <f t="shared" si="133"/>
        <v>10790.088339994682</v>
      </c>
      <c r="P217" s="16" t="s">
        <v>92</v>
      </c>
      <c r="Q217" s="14" t="s">
        <v>37</v>
      </c>
      <c r="R217" s="23">
        <v>206</v>
      </c>
      <c r="S217" s="119" t="s">
        <v>103</v>
      </c>
      <c r="T217" s="17">
        <f t="shared" si="134"/>
        <v>65.489550735414326</v>
      </c>
      <c r="U217" s="17">
        <f t="shared" si="135"/>
        <v>52.379069611624665</v>
      </c>
      <c r="V217" s="16"/>
      <c r="W217" s="16"/>
      <c r="X217" s="16"/>
      <c r="Y217" s="16"/>
      <c r="Z217" s="16"/>
      <c r="AA217" s="16"/>
      <c r="AB217" s="16"/>
      <c r="AC217" s="16" t="s">
        <v>39</v>
      </c>
      <c r="AD217" s="19"/>
    </row>
    <row r="218" spans="2:30">
      <c r="B218" s="14">
        <v>45594</v>
      </c>
      <c r="C218" s="105" t="s">
        <v>307</v>
      </c>
      <c r="D218" s="16" t="s">
        <v>319</v>
      </c>
      <c r="E218" s="16"/>
      <c r="F218" s="17"/>
      <c r="G218" s="16"/>
      <c r="H218" s="16">
        <v>83770</v>
      </c>
      <c r="I218" s="16" t="s">
        <v>35</v>
      </c>
      <c r="J218" s="105" t="s">
        <v>307</v>
      </c>
      <c r="K218" s="17">
        <v>124.79</v>
      </c>
      <c r="L218" s="17">
        <f>0.903581*8.3454</f>
        <v>7.5407448773999999</v>
      </c>
      <c r="M218" s="18">
        <f t="shared" ref="M218:M219" si="136">(H218/L218)</f>
        <v>11108.9821180747</v>
      </c>
      <c r="N218" s="17">
        <f t="shared" ref="N218" si="137">(M218*(K218/100))</f>
        <v>13862.898785145419</v>
      </c>
      <c r="O218" s="17">
        <f t="shared" ref="O218:O219" si="138">H218/L218</f>
        <v>11108.9821180747</v>
      </c>
      <c r="P218" s="16" t="s">
        <v>36</v>
      </c>
      <c r="Q218" s="14" t="s">
        <v>37</v>
      </c>
      <c r="R218" s="23">
        <v>208</v>
      </c>
      <c r="S218" s="119" t="s">
        <v>103</v>
      </c>
      <c r="T218" s="17">
        <f t="shared" ref="T218:T219" si="139">(N218-V218)/R218</f>
        <v>66.64855185166067</v>
      </c>
      <c r="U218" s="17">
        <f t="shared" ref="U218:U219" si="140">(O218-V218)/R218</f>
        <v>53.40856787535914</v>
      </c>
      <c r="V218" s="16"/>
      <c r="W218" s="16"/>
      <c r="X218" s="16"/>
      <c r="Y218" s="16"/>
      <c r="Z218" s="16"/>
      <c r="AA218" s="16"/>
      <c r="AB218" s="16"/>
      <c r="AC218" s="16" t="s">
        <v>39</v>
      </c>
      <c r="AD218" s="19"/>
    </row>
    <row r="219" spans="2:30">
      <c r="B219" s="14">
        <v>45595</v>
      </c>
      <c r="C219" s="105" t="s">
        <v>307</v>
      </c>
      <c r="D219" s="16" t="s">
        <v>320</v>
      </c>
      <c r="E219" s="16"/>
      <c r="F219" s="17"/>
      <c r="G219" s="16"/>
      <c r="H219" s="16">
        <v>74285</v>
      </c>
      <c r="I219" s="16" t="s">
        <v>35</v>
      </c>
      <c r="J219" s="105" t="s">
        <v>307</v>
      </c>
      <c r="K219" s="17">
        <v>125</v>
      </c>
      <c r="L219" s="17">
        <f>0.903015*8.3454</f>
        <v>7.5360213809999994</v>
      </c>
      <c r="M219" s="18">
        <f t="shared" si="136"/>
        <v>9857.3234130265537</v>
      </c>
      <c r="N219" s="17">
        <v>12350.24</v>
      </c>
      <c r="O219" s="17">
        <f t="shared" si="138"/>
        <v>9857.3234130265537</v>
      </c>
      <c r="P219" s="16" t="s">
        <v>36</v>
      </c>
      <c r="Q219" s="14" t="s">
        <v>37</v>
      </c>
      <c r="R219" s="23">
        <v>186</v>
      </c>
      <c r="S219" s="119" t="s">
        <v>103</v>
      </c>
      <c r="T219" s="17">
        <f t="shared" si="139"/>
        <v>66.399139784946229</v>
      </c>
      <c r="U219" s="17">
        <f t="shared" si="140"/>
        <v>52.996362435626629</v>
      </c>
      <c r="V219" s="16"/>
      <c r="W219" s="16"/>
      <c r="X219" s="16"/>
      <c r="Y219" s="16"/>
      <c r="Z219" s="16"/>
      <c r="AA219" s="16"/>
      <c r="AB219" s="16"/>
      <c r="AC219" s="16" t="s">
        <v>39</v>
      </c>
      <c r="AD219" s="19"/>
    </row>
    <row r="220" spans="2:30">
      <c r="B220" s="14">
        <v>45595</v>
      </c>
      <c r="C220" s="105" t="s">
        <v>307</v>
      </c>
      <c r="D220" s="16" t="s">
        <v>321</v>
      </c>
      <c r="E220" s="16"/>
      <c r="F220" s="17"/>
      <c r="G220" s="16"/>
      <c r="H220" s="16">
        <v>15385</v>
      </c>
      <c r="I220" s="16" t="s">
        <v>35</v>
      </c>
      <c r="J220" s="105" t="s">
        <v>307</v>
      </c>
      <c r="K220" s="17">
        <v>124.92</v>
      </c>
      <c r="L220" s="17">
        <f>0.903427*8.3454</f>
        <v>7.5394596857999998</v>
      </c>
      <c r="M220" s="18">
        <f t="shared" ref="M220" si="141">(H220/L220)</f>
        <v>2040.5971569788323</v>
      </c>
      <c r="N220" s="17">
        <f t="shared" ref="N220" si="142">(M220*(K220/100))</f>
        <v>2549.1139684979576</v>
      </c>
      <c r="O220" s="17">
        <f t="shared" ref="O220" si="143">H220/L220</f>
        <v>2040.5971569788323</v>
      </c>
      <c r="P220" s="16" t="s">
        <v>36</v>
      </c>
      <c r="Q220" s="14" t="s">
        <v>37</v>
      </c>
      <c r="R220" s="23">
        <v>38</v>
      </c>
      <c r="S220" s="119" t="s">
        <v>103</v>
      </c>
      <c r="T220" s="17">
        <f t="shared" ref="T220" si="144">(N220-V220)/R220</f>
        <v>67.081946539419931</v>
      </c>
      <c r="U220" s="17">
        <f t="shared" ref="U220" si="145">(O220-V220)/R220</f>
        <v>53.699925183653484</v>
      </c>
      <c r="V220" s="16"/>
      <c r="W220" s="16"/>
      <c r="X220" s="16"/>
      <c r="Y220" s="16"/>
      <c r="Z220" s="16"/>
      <c r="AA220" s="16"/>
      <c r="AB220" s="16"/>
      <c r="AC220" s="16" t="s">
        <v>39</v>
      </c>
      <c r="AD220" s="19"/>
    </row>
    <row r="221" spans="2:30">
      <c r="B221" s="14">
        <v>45595</v>
      </c>
      <c r="C221" s="105" t="s">
        <v>322</v>
      </c>
      <c r="D221" s="16" t="s">
        <v>323</v>
      </c>
      <c r="E221" s="16"/>
      <c r="F221" s="17"/>
      <c r="G221" s="16" t="s">
        <v>106</v>
      </c>
      <c r="H221" s="16">
        <v>83590</v>
      </c>
      <c r="I221" s="16" t="s">
        <v>35</v>
      </c>
      <c r="J221" s="105" t="s">
        <v>324</v>
      </c>
      <c r="K221" s="17">
        <v>119.81</v>
      </c>
      <c r="L221" s="17">
        <f>0.909212*8.3454</f>
        <v>7.5877378247999996</v>
      </c>
      <c r="M221" s="18">
        <f t="shared" si="129"/>
        <v>11016.45865079732</v>
      </c>
      <c r="N221" s="17">
        <f t="shared" si="126"/>
        <v>13198.819109520269</v>
      </c>
      <c r="O221" s="17">
        <f t="shared" si="130"/>
        <v>11016.45865079732</v>
      </c>
      <c r="P221" s="16" t="s">
        <v>325</v>
      </c>
      <c r="Q221" s="14" t="s">
        <v>37</v>
      </c>
      <c r="R221" s="23">
        <v>199</v>
      </c>
      <c r="S221" s="119" t="s">
        <v>103</v>
      </c>
      <c r="T221" s="17">
        <f t="shared" si="127"/>
        <v>66.325724168443557</v>
      </c>
      <c r="U221" s="17">
        <f t="shared" si="128"/>
        <v>55.359088697473972</v>
      </c>
      <c r="V221" s="16"/>
      <c r="W221" s="16"/>
      <c r="X221" s="16"/>
      <c r="Y221" s="16"/>
      <c r="Z221" s="16"/>
      <c r="AA221" s="16"/>
      <c r="AB221" s="16"/>
      <c r="AC221" s="16" t="s">
        <v>39</v>
      </c>
      <c r="AD221" s="24">
        <f>SUM(N221:N226)/((5*3*24080)/56)</f>
        <v>4.8757081397728426</v>
      </c>
    </row>
    <row r="222" spans="2:30">
      <c r="B222" s="14">
        <v>45596</v>
      </c>
      <c r="C222" s="105" t="s">
        <v>322</v>
      </c>
      <c r="D222" s="16" t="s">
        <v>326</v>
      </c>
      <c r="E222" s="16"/>
      <c r="F222" s="17"/>
      <c r="G222" s="16" t="s">
        <v>106</v>
      </c>
      <c r="H222" s="16">
        <f>402.5*61</f>
        <v>24552.5</v>
      </c>
      <c r="I222" s="16" t="s">
        <v>35</v>
      </c>
      <c r="J222" s="105" t="s">
        <v>324</v>
      </c>
      <c r="K222" s="17">
        <v>119.88</v>
      </c>
      <c r="L222" s="17">
        <f>0.90913*8.3454</f>
        <v>7.5870535019999998</v>
      </c>
      <c r="M222" s="18">
        <f t="shared" si="129"/>
        <v>3236.1047663006188</v>
      </c>
      <c r="N222" s="17">
        <f t="shared" si="126"/>
        <v>3879.4423938411815</v>
      </c>
      <c r="O222" s="17">
        <f t="shared" si="130"/>
        <v>3236.1047663006188</v>
      </c>
      <c r="P222" s="16" t="s">
        <v>325</v>
      </c>
      <c r="Q222" s="14" t="s">
        <v>37</v>
      </c>
      <c r="R222" s="23">
        <v>61</v>
      </c>
      <c r="S222" s="119" t="s">
        <v>103</v>
      </c>
      <c r="T222" s="17">
        <f t="shared" si="127"/>
        <v>63.597416292478385</v>
      </c>
      <c r="U222" s="17">
        <f t="shared" si="128"/>
        <v>53.050897808206869</v>
      </c>
      <c r="V222" s="16"/>
      <c r="W222" s="16"/>
      <c r="X222" s="16"/>
      <c r="Y222" s="16"/>
      <c r="Z222" s="16"/>
      <c r="AA222" s="16"/>
      <c r="AB222" s="16"/>
      <c r="AC222" s="16" t="s">
        <v>39</v>
      </c>
      <c r="AD222" s="19"/>
    </row>
    <row r="223" spans="2:30">
      <c r="B223" s="14">
        <v>45596</v>
      </c>
      <c r="C223" s="105" t="s">
        <v>327</v>
      </c>
      <c r="D223" s="16" t="s">
        <v>328</v>
      </c>
      <c r="E223" s="16"/>
      <c r="F223" s="17"/>
      <c r="G223" s="16" t="s">
        <v>106</v>
      </c>
      <c r="H223" s="16">
        <f>402.5*20</f>
        <v>8050</v>
      </c>
      <c r="I223" s="16" t="s">
        <v>35</v>
      </c>
      <c r="J223" s="105" t="s">
        <v>329</v>
      </c>
      <c r="K223" s="127">
        <v>119.88</v>
      </c>
      <c r="L223" s="17">
        <f>0.90913*8.3454</f>
        <v>7.5870535019999998</v>
      </c>
      <c r="M223" s="18">
        <f t="shared" si="129"/>
        <v>1061.0179561641373</v>
      </c>
      <c r="N223" s="17">
        <f t="shared" si="126"/>
        <v>1271.9483258495677</v>
      </c>
      <c r="O223" s="17">
        <f t="shared" si="130"/>
        <v>1061.0179561641373</v>
      </c>
      <c r="P223" s="16" t="s">
        <v>330</v>
      </c>
      <c r="Q223" s="14" t="s">
        <v>37</v>
      </c>
      <c r="R223" s="23">
        <v>20</v>
      </c>
      <c r="S223" s="119" t="s">
        <v>103</v>
      </c>
      <c r="T223" s="17">
        <f t="shared" si="127"/>
        <v>63.597416292478385</v>
      </c>
      <c r="U223" s="17">
        <f t="shared" si="128"/>
        <v>53.050897808206869</v>
      </c>
      <c r="V223" s="16"/>
      <c r="W223" s="16"/>
      <c r="X223" s="16"/>
      <c r="Y223" s="16"/>
      <c r="Z223" s="16"/>
      <c r="AA223" s="16"/>
      <c r="AB223" s="16"/>
      <c r="AC223" s="16" t="s">
        <v>39</v>
      </c>
      <c r="AD223" s="24" t="s">
        <v>331</v>
      </c>
    </row>
    <row r="224" spans="2:30">
      <c r="B224" s="14">
        <v>45596</v>
      </c>
      <c r="C224" s="105" t="s">
        <v>327</v>
      </c>
      <c r="D224" s="16" t="s">
        <v>332</v>
      </c>
      <c r="E224" s="16"/>
      <c r="F224" s="17"/>
      <c r="G224" s="16" t="s">
        <v>106</v>
      </c>
      <c r="H224" s="16">
        <f>402.5*80</f>
        <v>32200</v>
      </c>
      <c r="I224" s="16" t="s">
        <v>35</v>
      </c>
      <c r="J224" s="105" t="s">
        <v>329</v>
      </c>
      <c r="K224" s="127">
        <v>119.71</v>
      </c>
      <c r="L224" s="17">
        <f>0.909332*8.3454</f>
        <v>7.5887392727999998</v>
      </c>
      <c r="M224" s="18">
        <f t="shared" si="129"/>
        <v>4243.1290419230909</v>
      </c>
      <c r="N224" s="17">
        <f t="shared" si="126"/>
        <v>5079.4497760861314</v>
      </c>
      <c r="O224" s="17">
        <f t="shared" si="130"/>
        <v>4243.1290419230909</v>
      </c>
      <c r="P224" s="16" t="s">
        <v>330</v>
      </c>
      <c r="Q224" s="14" t="s">
        <v>37</v>
      </c>
      <c r="R224" s="23">
        <v>80</v>
      </c>
      <c r="S224" s="119" t="s">
        <v>103</v>
      </c>
      <c r="T224" s="17">
        <f t="shared" si="127"/>
        <v>63.493122201076645</v>
      </c>
      <c r="U224" s="17">
        <f t="shared" si="128"/>
        <v>53.039113024038635</v>
      </c>
      <c r="V224" s="16"/>
      <c r="W224" s="16"/>
      <c r="X224" s="16"/>
      <c r="Y224" s="16"/>
      <c r="Z224" s="16"/>
      <c r="AA224" s="16"/>
      <c r="AB224" s="16"/>
      <c r="AC224" s="16" t="s">
        <v>39</v>
      </c>
      <c r="AD224" s="19"/>
    </row>
    <row r="225" spans="2:30">
      <c r="B225" s="14">
        <v>45596</v>
      </c>
      <c r="C225" s="105" t="s">
        <v>327</v>
      </c>
      <c r="D225" s="16" t="s">
        <v>333</v>
      </c>
      <c r="E225" s="16"/>
      <c r="F225" s="17"/>
      <c r="G225" s="16"/>
      <c r="H225" s="16">
        <f>405*67</f>
        <v>27135</v>
      </c>
      <c r="I225" s="16" t="s">
        <v>35</v>
      </c>
      <c r="J225" s="105" t="s">
        <v>329</v>
      </c>
      <c r="K225" s="127">
        <v>115.15</v>
      </c>
      <c r="L225" s="17">
        <f>0.914352*8.3454</f>
        <v>7.6306331808000003</v>
      </c>
      <c r="M225" s="18">
        <f>(H225/L225)</f>
        <v>3556.0613853482537</v>
      </c>
      <c r="N225" s="17">
        <f>(M225*(K225/100))</f>
        <v>4094.8046852285138</v>
      </c>
      <c r="O225" s="17">
        <f>H225/L225</f>
        <v>3556.0613853482537</v>
      </c>
      <c r="P225" s="16" t="s">
        <v>334</v>
      </c>
      <c r="Q225" s="14" t="s">
        <v>37</v>
      </c>
      <c r="R225" s="23">
        <v>67</v>
      </c>
      <c r="S225" s="119" t="s">
        <v>103</v>
      </c>
      <c r="T225" s="17">
        <f>(N225-V225)/R225</f>
        <v>61.116487839231546</v>
      </c>
      <c r="U225" s="17">
        <f>(O225-V225)/R225</f>
        <v>53.075543064899307</v>
      </c>
      <c r="V225" s="16"/>
      <c r="W225" s="16"/>
      <c r="X225" s="16"/>
      <c r="Y225" s="16"/>
      <c r="Z225" s="16"/>
      <c r="AA225" s="16"/>
      <c r="AB225" s="16"/>
      <c r="AC225" s="16" t="s">
        <v>39</v>
      </c>
      <c r="AD225" s="19"/>
    </row>
    <row r="226" spans="2:30">
      <c r="B226" s="108">
        <v>45596</v>
      </c>
      <c r="C226" s="180" t="s">
        <v>138</v>
      </c>
      <c r="D226" s="111" t="s">
        <v>335</v>
      </c>
      <c r="E226" s="111"/>
      <c r="F226" s="112"/>
      <c r="G226" s="111"/>
      <c r="H226" s="179">
        <f>400*65</f>
        <v>26000</v>
      </c>
      <c r="I226" s="111" t="s">
        <v>35</v>
      </c>
      <c r="J226" s="180" t="s">
        <v>336</v>
      </c>
      <c r="K226" s="112">
        <v>115.15</v>
      </c>
      <c r="L226" s="112">
        <v>7.63</v>
      </c>
      <c r="M226" s="113">
        <f>(H226/L226)</f>
        <v>3407.6015727391873</v>
      </c>
      <c r="N226" s="112">
        <f>(M226*(K226/100))</f>
        <v>3923.8532110091742</v>
      </c>
      <c r="O226" s="112">
        <f>H226/L226</f>
        <v>3407.6015727391873</v>
      </c>
      <c r="P226" s="111" t="s">
        <v>36</v>
      </c>
      <c r="Q226" s="108" t="s">
        <v>37</v>
      </c>
      <c r="R226" s="114">
        <v>65</v>
      </c>
      <c r="S226" s="133" t="s">
        <v>103</v>
      </c>
      <c r="T226" s="112">
        <f>(N226-V226)/R226</f>
        <v>60.366972477064216</v>
      </c>
      <c r="U226" s="112">
        <f>(O226-V226)/R226</f>
        <v>52.424639580602879</v>
      </c>
      <c r="V226" s="111"/>
      <c r="W226" s="111"/>
      <c r="X226" s="111"/>
      <c r="Y226" s="111"/>
      <c r="Z226" s="111"/>
      <c r="AA226" s="111"/>
      <c r="AB226" s="111"/>
      <c r="AC226" s="111" t="s">
        <v>39</v>
      </c>
      <c r="AD226" s="178"/>
    </row>
    <row r="227" spans="2:30">
      <c r="B227" s="14">
        <v>45597</v>
      </c>
      <c r="C227" s="142" t="s">
        <v>337</v>
      </c>
      <c r="D227" s="16" t="s">
        <v>338</v>
      </c>
      <c r="E227" s="16"/>
      <c r="F227" s="17"/>
      <c r="G227" s="16" t="s">
        <v>106</v>
      </c>
      <c r="H227" s="16">
        <f>402.5*88</f>
        <v>35420</v>
      </c>
      <c r="I227" s="150" t="s">
        <v>137</v>
      </c>
      <c r="J227" s="142" t="s">
        <v>337</v>
      </c>
      <c r="K227" s="17">
        <v>120.13</v>
      </c>
      <c r="L227" s="17">
        <f>0.908856*8.3454</f>
        <v>7.5847668623999995</v>
      </c>
      <c r="M227" s="18">
        <f t="shared" si="129"/>
        <v>4669.8864503782879</v>
      </c>
      <c r="N227" s="17">
        <f t="shared" si="126"/>
        <v>5609.9345928394378</v>
      </c>
      <c r="O227" s="17">
        <f t="shared" si="130"/>
        <v>4669.8864503782879</v>
      </c>
      <c r="P227" s="16" t="s">
        <v>330</v>
      </c>
      <c r="Q227" s="14" t="s">
        <v>37</v>
      </c>
      <c r="R227" s="23">
        <v>88</v>
      </c>
      <c r="S227" s="119" t="s">
        <v>103</v>
      </c>
      <c r="T227" s="17">
        <f t="shared" si="127"/>
        <v>63.749256736811795</v>
      </c>
      <c r="U227" s="17">
        <f t="shared" si="128"/>
        <v>53.066891481571453</v>
      </c>
      <c r="V227" s="16"/>
      <c r="W227" s="16"/>
      <c r="X227" s="16"/>
      <c r="Y227" s="16"/>
      <c r="Z227" s="16"/>
      <c r="AA227" s="16"/>
      <c r="AB227" s="16"/>
      <c r="AC227" s="16" t="s">
        <v>39</v>
      </c>
      <c r="AD227" s="19"/>
    </row>
    <row r="228" spans="2:30">
      <c r="B228" s="14">
        <v>45597</v>
      </c>
      <c r="C228" s="142" t="s">
        <v>337</v>
      </c>
      <c r="D228" s="16" t="s">
        <v>339</v>
      </c>
      <c r="E228" s="16"/>
      <c r="F228" s="17"/>
      <c r="G228" s="16" t="s">
        <v>106</v>
      </c>
      <c r="H228" s="16">
        <v>27060</v>
      </c>
      <c r="I228" s="150" t="s">
        <v>137</v>
      </c>
      <c r="J228" s="142" t="s">
        <v>340</v>
      </c>
      <c r="K228" s="17">
        <v>115.14</v>
      </c>
      <c r="L228" s="17">
        <f>0.91436*8.3454</f>
        <v>7.630699943999999</v>
      </c>
      <c r="M228" s="18">
        <f t="shared" si="129"/>
        <v>3546.2015540628372</v>
      </c>
      <c r="N228" s="17">
        <f t="shared" si="126"/>
        <v>4083.0964693479505</v>
      </c>
      <c r="O228" s="17">
        <f t="shared" si="130"/>
        <v>3546.2015540628372</v>
      </c>
      <c r="P228" s="16" t="s">
        <v>334</v>
      </c>
      <c r="Q228" s="14" t="s">
        <v>37</v>
      </c>
      <c r="R228" s="23">
        <v>67</v>
      </c>
      <c r="S228" s="119" t="s">
        <v>103</v>
      </c>
      <c r="T228" s="17">
        <f t="shared" si="127"/>
        <v>60.941738348476875</v>
      </c>
      <c r="U228" s="17">
        <f t="shared" si="128"/>
        <v>52.928381403922941</v>
      </c>
      <c r="V228" s="16"/>
      <c r="W228" s="16"/>
      <c r="X228" s="16"/>
      <c r="Y228" s="16"/>
      <c r="Z228" s="16"/>
      <c r="AA228" s="16"/>
      <c r="AB228" s="16"/>
      <c r="AC228" s="16" t="s">
        <v>39</v>
      </c>
      <c r="AD228" s="19"/>
    </row>
    <row r="229" spans="2:30">
      <c r="B229" s="108">
        <v>45597</v>
      </c>
      <c r="C229" s="142" t="s">
        <v>341</v>
      </c>
      <c r="D229" s="111" t="s">
        <v>342</v>
      </c>
      <c r="E229" s="111"/>
      <c r="F229" s="112"/>
      <c r="G229" s="111"/>
      <c r="H229" s="111">
        <f>405*1</f>
        <v>405</v>
      </c>
      <c r="I229" s="150" t="s">
        <v>137</v>
      </c>
      <c r="J229" s="142" t="s">
        <v>341</v>
      </c>
      <c r="K229" s="112">
        <v>115.14</v>
      </c>
      <c r="L229" s="112">
        <f>0.91436*8.3454</f>
        <v>7.630699943999999</v>
      </c>
      <c r="M229" s="112">
        <f t="shared" ref="M229" si="146">(H229/L229)</f>
        <v>53.07507869162783</v>
      </c>
      <c r="N229" s="112">
        <f t="shared" ref="N229" si="147">(M229*(K229/100))</f>
        <v>61.110645605540284</v>
      </c>
      <c r="O229" s="112">
        <f t="shared" ref="O229" si="148">H229/L229</f>
        <v>53.07507869162783</v>
      </c>
      <c r="P229" s="111" t="s">
        <v>36</v>
      </c>
      <c r="Q229" s="108" t="s">
        <v>37</v>
      </c>
      <c r="R229" s="21">
        <v>1</v>
      </c>
      <c r="S229" s="21" t="s">
        <v>103</v>
      </c>
      <c r="T229" s="112">
        <f t="shared" ref="T229" si="149">(N229-V229)/R229</f>
        <v>61.110645605540284</v>
      </c>
      <c r="U229" s="112">
        <f t="shared" ref="U229" si="150">(O229-V229)/R229</f>
        <v>53.07507869162783</v>
      </c>
      <c r="V229" s="111"/>
      <c r="W229" s="111"/>
      <c r="X229" s="111"/>
      <c r="Y229" s="111"/>
      <c r="Z229" s="111"/>
      <c r="AA229" s="111"/>
      <c r="AB229" s="111"/>
      <c r="AC229" s="111" t="s">
        <v>39</v>
      </c>
      <c r="AD229" s="178"/>
    </row>
    <row r="230" spans="2:30">
      <c r="B230" s="14">
        <v>45597</v>
      </c>
      <c r="C230" s="105" t="s">
        <v>343</v>
      </c>
      <c r="D230" s="16" t="s">
        <v>344</v>
      </c>
      <c r="E230" s="16"/>
      <c r="F230" s="17"/>
      <c r="G230" s="16" t="s">
        <v>106</v>
      </c>
      <c r="H230" s="16">
        <f>100*402.5</f>
        <v>40250</v>
      </c>
      <c r="I230" s="16" t="s">
        <v>35</v>
      </c>
      <c r="J230" s="105" t="s">
        <v>343</v>
      </c>
      <c r="K230" s="17">
        <v>119.89</v>
      </c>
      <c r="L230" s="17">
        <f>0.909127*8.3454</f>
        <v>7.5870284657999996</v>
      </c>
      <c r="M230" s="18">
        <f t="shared" si="129"/>
        <v>5305.1072869219706</v>
      </c>
      <c r="N230" s="17">
        <f t="shared" si="126"/>
        <v>6360.2931262907514</v>
      </c>
      <c r="O230" s="17">
        <f t="shared" si="130"/>
        <v>5305.1072869219706</v>
      </c>
      <c r="P230" s="16" t="s">
        <v>330</v>
      </c>
      <c r="Q230" s="14" t="s">
        <v>37</v>
      </c>
      <c r="R230" s="23">
        <v>100</v>
      </c>
      <c r="S230" s="119" t="s">
        <v>103</v>
      </c>
      <c r="T230" s="17">
        <f t="shared" si="127"/>
        <v>63.602931262907511</v>
      </c>
      <c r="U230" s="17">
        <f t="shared" si="128"/>
        <v>53.051072869219709</v>
      </c>
      <c r="V230" s="16"/>
      <c r="W230" s="16"/>
      <c r="X230" s="16"/>
      <c r="Y230" s="16"/>
      <c r="Z230" s="16"/>
      <c r="AA230" s="16"/>
      <c r="AB230" s="16"/>
      <c r="AC230" s="16" t="s">
        <v>39</v>
      </c>
      <c r="AD230" s="24">
        <f>SUM(N233:N234)/((3*3*24080)/56)</f>
        <v>1.8585246080880382</v>
      </c>
    </row>
    <row r="231" spans="2:30">
      <c r="B231" s="14">
        <v>45597</v>
      </c>
      <c r="C231" s="105" t="s">
        <v>343</v>
      </c>
      <c r="D231" s="16" t="s">
        <v>345</v>
      </c>
      <c r="E231" s="16"/>
      <c r="F231" s="17"/>
      <c r="G231" s="16" t="s">
        <v>106</v>
      </c>
      <c r="H231" s="22">
        <f>(54920/136)*67</f>
        <v>27056.176470588234</v>
      </c>
      <c r="I231" s="16" t="s">
        <v>35</v>
      </c>
      <c r="J231" s="105" t="s">
        <v>346</v>
      </c>
      <c r="K231" s="17">
        <v>115.27</v>
      </c>
      <c r="L231" s="17">
        <f>0.914212*8.3454</f>
        <v>7.6294648248000003</v>
      </c>
      <c r="M231" s="18">
        <f t="shared" si="129"/>
        <v>3546.2744886955406</v>
      </c>
      <c r="N231" s="17">
        <f t="shared" si="126"/>
        <v>4087.7906031193497</v>
      </c>
      <c r="O231" s="17">
        <f t="shared" si="130"/>
        <v>3546.2744886955406</v>
      </c>
      <c r="P231" s="16" t="s">
        <v>334</v>
      </c>
      <c r="Q231" s="14" t="s">
        <v>37</v>
      </c>
      <c r="R231" s="23">
        <v>67</v>
      </c>
      <c r="S231" s="119" t="s">
        <v>103</v>
      </c>
      <c r="T231" s="17">
        <f t="shared" si="127"/>
        <v>61.011800046557461</v>
      </c>
      <c r="U231" s="17">
        <f t="shared" si="128"/>
        <v>52.929469980530456</v>
      </c>
      <c r="V231" s="16"/>
      <c r="W231" s="16"/>
      <c r="X231" s="16"/>
      <c r="Y231" s="16"/>
      <c r="Z231" s="16"/>
      <c r="AA231" s="16"/>
      <c r="AB231" s="16"/>
      <c r="AC231" s="16" t="s">
        <v>39</v>
      </c>
      <c r="AD231" s="19"/>
    </row>
    <row r="232" spans="2:30">
      <c r="B232" s="108">
        <v>45597</v>
      </c>
      <c r="C232" s="134" t="s">
        <v>347</v>
      </c>
      <c r="D232" s="111" t="s">
        <v>348</v>
      </c>
      <c r="E232" s="111"/>
      <c r="F232" s="112"/>
      <c r="G232" s="111"/>
      <c r="H232" s="182">
        <f>(54920/136)*69</f>
        <v>27863.823529411766</v>
      </c>
      <c r="I232" s="111" t="s">
        <v>35</v>
      </c>
      <c r="J232" s="134" t="s">
        <v>347</v>
      </c>
      <c r="K232" s="183">
        <v>115.27</v>
      </c>
      <c r="L232" s="112">
        <f>0.914212*8.3454</f>
        <v>7.6294648248000003</v>
      </c>
      <c r="M232" s="113">
        <f t="shared" ref="M232" si="151">(H232/L232)</f>
        <v>3652.1334286566021</v>
      </c>
      <c r="N232" s="112">
        <f t="shared" ref="N232" si="152">(M232*(K232/100))</f>
        <v>4209.8142032124651</v>
      </c>
      <c r="O232" s="112">
        <f t="shared" ref="O232" si="153">H232/L232</f>
        <v>3652.1334286566021</v>
      </c>
      <c r="P232" s="111" t="s">
        <v>36</v>
      </c>
      <c r="Q232" s="108" t="s">
        <v>37</v>
      </c>
      <c r="R232" s="111">
        <v>69</v>
      </c>
      <c r="S232" s="21" t="s">
        <v>103</v>
      </c>
      <c r="T232" s="112">
        <f t="shared" ref="T232" si="154">(N232-V232)/R232</f>
        <v>61.011800046557468</v>
      </c>
      <c r="U232" s="112">
        <f t="shared" ref="U232" si="155">(O232-V232)/R232</f>
        <v>52.929469980530463</v>
      </c>
      <c r="V232" s="111"/>
      <c r="W232" s="111"/>
      <c r="X232" s="111"/>
      <c r="Y232" s="111"/>
      <c r="Z232" s="111"/>
      <c r="AA232" s="111"/>
      <c r="AB232" s="111"/>
      <c r="AC232" s="111" t="s">
        <v>39</v>
      </c>
      <c r="AD232" s="178"/>
    </row>
    <row r="233" spans="2:30">
      <c r="B233" s="14">
        <v>45600</v>
      </c>
      <c r="C233" s="105" t="s">
        <v>349</v>
      </c>
      <c r="D233" s="16" t="s">
        <v>350</v>
      </c>
      <c r="E233" s="16"/>
      <c r="F233" s="17"/>
      <c r="G233" s="16" t="s">
        <v>106</v>
      </c>
      <c r="H233" s="17">
        <f>(50040/123)*100</f>
        <v>40682.92682926829</v>
      </c>
      <c r="I233" s="16" t="s">
        <v>35</v>
      </c>
      <c r="J233" s="105" t="s">
        <v>349</v>
      </c>
      <c r="K233" s="127">
        <v>110.3</v>
      </c>
      <c r="L233" s="17">
        <f>0.919531*8.3454</f>
        <v>7.6738540073999992</v>
      </c>
      <c r="M233" s="18">
        <f t="shared" ref="M233" si="156">(H233/L233)</f>
        <v>5301.4986719889648</v>
      </c>
      <c r="N233" s="17">
        <f t="shared" ref="N233" si="157">(M233*(K233/100))</f>
        <v>5847.5530352038277</v>
      </c>
      <c r="O233" s="17">
        <f t="shared" ref="O233" si="158">H233/L233</f>
        <v>5301.4986719889648</v>
      </c>
      <c r="P233" s="16" t="s">
        <v>36</v>
      </c>
      <c r="Q233" s="14" t="s">
        <v>37</v>
      </c>
      <c r="R233" s="23">
        <v>100</v>
      </c>
      <c r="S233" s="119" t="s">
        <v>103</v>
      </c>
      <c r="T233" s="17">
        <f t="shared" ref="T233" si="159">(N233-V233)/R233</f>
        <v>58.475530352038277</v>
      </c>
      <c r="U233" s="17">
        <f t="shared" ref="U233" si="160">(O233-V233)/R233</f>
        <v>53.014986719889649</v>
      </c>
      <c r="V233" s="16"/>
      <c r="W233" s="16"/>
      <c r="X233" s="16"/>
      <c r="Y233" s="16"/>
      <c r="Z233" s="16"/>
      <c r="AA233" s="16"/>
      <c r="AB233" s="16"/>
      <c r="AC233" s="16" t="s">
        <v>39</v>
      </c>
      <c r="AD233" s="24" t="s">
        <v>351</v>
      </c>
    </row>
    <row r="234" spans="2:30">
      <c r="B234" s="108">
        <v>45600</v>
      </c>
      <c r="C234" s="134" t="s">
        <v>347</v>
      </c>
      <c r="D234" s="111" t="s">
        <v>352</v>
      </c>
      <c r="E234" s="111"/>
      <c r="F234" s="112"/>
      <c r="G234" s="111" t="s">
        <v>106</v>
      </c>
      <c r="H234" s="182">
        <f>(50040/123)*23</f>
        <v>9357.0731707317063</v>
      </c>
      <c r="I234" s="111" t="s">
        <v>35</v>
      </c>
      <c r="J234" s="134" t="s">
        <v>347</v>
      </c>
      <c r="K234" s="184">
        <v>110.3</v>
      </c>
      <c r="L234" s="112">
        <f>0.919531*8.3454</f>
        <v>7.6738540073999992</v>
      </c>
      <c r="M234" s="113">
        <f t="shared" ref="M234" si="161">(H234/L234)</f>
        <v>1219.3446945574617</v>
      </c>
      <c r="N234" s="112">
        <f t="shared" ref="N234" si="162">(M234*(K234/100))</f>
        <v>1344.9371980968801</v>
      </c>
      <c r="O234" s="112">
        <f t="shared" ref="O234" si="163">H234/L234</f>
        <v>1219.3446945574617</v>
      </c>
      <c r="P234" s="111" t="s">
        <v>36</v>
      </c>
      <c r="Q234" s="108" t="s">
        <v>37</v>
      </c>
      <c r="R234" s="114">
        <v>23</v>
      </c>
      <c r="S234" s="21" t="s">
        <v>103</v>
      </c>
      <c r="T234" s="112">
        <f t="shared" ref="T234" si="164">(N234-V234)/R234</f>
        <v>58.47553035203827</v>
      </c>
      <c r="U234" s="112">
        <f t="shared" ref="U234" si="165">(O234-V234)/R234</f>
        <v>53.014986719889642</v>
      </c>
      <c r="V234" s="111"/>
      <c r="W234" s="111"/>
      <c r="X234" s="111"/>
      <c r="Y234" s="111"/>
      <c r="Z234" s="111"/>
      <c r="AA234" s="111"/>
      <c r="AB234" s="111"/>
      <c r="AC234" s="111" t="s">
        <v>39</v>
      </c>
      <c r="AD234" s="178"/>
    </row>
    <row r="235" spans="2:30">
      <c r="B235" s="14">
        <v>45600</v>
      </c>
      <c r="C235" s="105" t="s">
        <v>81</v>
      </c>
      <c r="D235" s="16" t="s">
        <v>353</v>
      </c>
      <c r="E235" s="16"/>
      <c r="F235" s="17"/>
      <c r="G235" s="16" t="s">
        <v>106</v>
      </c>
      <c r="H235" s="16">
        <v>85505</v>
      </c>
      <c r="I235" s="16" t="s">
        <v>35</v>
      </c>
      <c r="J235" s="105" t="s">
        <v>354</v>
      </c>
      <c r="K235" s="17">
        <v>120.28</v>
      </c>
      <c r="L235" s="17">
        <f>0.908685*8.3454</f>
        <v>7.5833397989999991</v>
      </c>
      <c r="M235" s="18">
        <f t="shared" si="129"/>
        <v>11275.375001826424</v>
      </c>
      <c r="N235" s="17">
        <f t="shared" si="126"/>
        <v>13562.021052196824</v>
      </c>
      <c r="O235" s="17">
        <f t="shared" si="130"/>
        <v>11275.375001826424</v>
      </c>
      <c r="P235" s="16" t="s">
        <v>36</v>
      </c>
      <c r="Q235" s="14" t="s">
        <v>37</v>
      </c>
      <c r="R235" s="23">
        <v>211</v>
      </c>
      <c r="S235" s="119" t="s">
        <v>103</v>
      </c>
      <c r="T235" s="17">
        <f t="shared" si="127"/>
        <v>64.274981290032343</v>
      </c>
      <c r="U235" s="17">
        <f t="shared" si="128"/>
        <v>53.437796217186843</v>
      </c>
      <c r="V235" s="16"/>
      <c r="W235" s="16"/>
      <c r="X235" s="16"/>
      <c r="Y235" s="16"/>
      <c r="Z235" s="16"/>
      <c r="AA235" s="16"/>
      <c r="AB235" s="16"/>
      <c r="AC235" s="16" t="s">
        <v>39</v>
      </c>
      <c r="AD235" s="24">
        <f>SUM(N235:N252)/((32*3*24080)/56)</f>
        <v>5.2120464933751203</v>
      </c>
    </row>
    <row r="236" spans="2:30">
      <c r="B236" s="14">
        <v>45600</v>
      </c>
      <c r="C236" s="105" t="s">
        <v>81</v>
      </c>
      <c r="D236" s="16" t="s">
        <v>355</v>
      </c>
      <c r="E236" s="16"/>
      <c r="F236" s="17"/>
      <c r="G236" s="16" t="s">
        <v>106</v>
      </c>
      <c r="H236" s="16">
        <v>86085</v>
      </c>
      <c r="I236" s="16" t="s">
        <v>35</v>
      </c>
      <c r="J236" s="105" t="s">
        <v>354</v>
      </c>
      <c r="K236" s="17">
        <v>119.76</v>
      </c>
      <c r="L236" s="17">
        <f>0.909269*8.3454</f>
        <v>7.5882135125999994</v>
      </c>
      <c r="M236" s="18">
        <f t="shared" si="129"/>
        <v>11344.56744753669</v>
      </c>
      <c r="N236" s="17">
        <f t="shared" si="126"/>
        <v>13586.253975169941</v>
      </c>
      <c r="O236" s="17">
        <f t="shared" si="130"/>
        <v>11344.56744753669</v>
      </c>
      <c r="P236" s="16" t="s">
        <v>36</v>
      </c>
      <c r="Q236" s="14" t="s">
        <v>37</v>
      </c>
      <c r="R236" s="23">
        <v>214</v>
      </c>
      <c r="S236" s="119" t="s">
        <v>103</v>
      </c>
      <c r="T236" s="17">
        <f t="shared" si="127"/>
        <v>63.487168108270751</v>
      </c>
      <c r="U236" s="17">
        <f t="shared" si="128"/>
        <v>53.011997418395751</v>
      </c>
      <c r="V236" s="16"/>
      <c r="W236" s="16"/>
      <c r="X236" s="16"/>
      <c r="Y236" s="16"/>
      <c r="Z236" s="16"/>
      <c r="AA236" s="16"/>
      <c r="AB236" s="16"/>
      <c r="AC236" s="16" t="s">
        <v>39</v>
      </c>
      <c r="AD236" s="19"/>
    </row>
    <row r="237" spans="2:30">
      <c r="B237" s="14">
        <v>45600</v>
      </c>
      <c r="C237" s="105" t="s">
        <v>81</v>
      </c>
      <c r="D237" s="16" t="s">
        <v>356</v>
      </c>
      <c r="E237" s="16"/>
      <c r="F237" s="17"/>
      <c r="G237" s="16" t="s">
        <v>106</v>
      </c>
      <c r="H237" s="16">
        <f>405*210</f>
        <v>85050</v>
      </c>
      <c r="I237" s="16" t="s">
        <v>35</v>
      </c>
      <c r="J237" s="105" t="s">
        <v>354</v>
      </c>
      <c r="K237" s="17">
        <v>120.27</v>
      </c>
      <c r="L237" s="17">
        <f>0.908703*8.3454</f>
        <v>7.5834900161999999</v>
      </c>
      <c r="M237" s="18">
        <f t="shared" si="129"/>
        <v>11215.152893761913</v>
      </c>
      <c r="N237" s="17">
        <f t="shared" si="126"/>
        <v>13488.464385327452</v>
      </c>
      <c r="O237" s="17">
        <f t="shared" si="130"/>
        <v>11215.152893761913</v>
      </c>
      <c r="P237" s="16" t="s">
        <v>36</v>
      </c>
      <c r="Q237" s="14" t="s">
        <v>37</v>
      </c>
      <c r="R237" s="23">
        <v>210</v>
      </c>
      <c r="S237" s="119" t="s">
        <v>103</v>
      </c>
      <c r="T237" s="17">
        <f t="shared" si="127"/>
        <v>64.230782787273583</v>
      </c>
      <c r="U237" s="17">
        <f t="shared" si="128"/>
        <v>53.405489970294823</v>
      </c>
      <c r="V237" s="16"/>
      <c r="W237" s="16"/>
      <c r="X237" s="16"/>
      <c r="Y237" s="16"/>
      <c r="Z237" s="16"/>
      <c r="AA237" s="16"/>
      <c r="AB237" s="16"/>
      <c r="AC237" s="16" t="s">
        <v>39</v>
      </c>
      <c r="AD237" s="19"/>
    </row>
    <row r="238" spans="2:30">
      <c r="B238" s="14">
        <v>45601</v>
      </c>
      <c r="C238" s="105" t="s">
        <v>81</v>
      </c>
      <c r="D238" s="16" t="s">
        <v>357</v>
      </c>
      <c r="E238" s="16"/>
      <c r="F238" s="17"/>
      <c r="G238" s="16" t="s">
        <v>106</v>
      </c>
      <c r="H238" s="16">
        <v>85000</v>
      </c>
      <c r="I238" s="16" t="s">
        <v>35</v>
      </c>
      <c r="J238" s="105" t="s">
        <v>354</v>
      </c>
      <c r="K238" s="17">
        <v>119.78</v>
      </c>
      <c r="L238" s="17">
        <f>0.909246*8.3454</f>
        <v>7.5880215683999994</v>
      </c>
      <c r="M238" s="18">
        <f t="shared" si="129"/>
        <v>11201.865892682616</v>
      </c>
      <c r="N238" s="17">
        <f t="shared" si="126"/>
        <v>13417.594966255238</v>
      </c>
      <c r="O238" s="17">
        <f t="shared" si="130"/>
        <v>11201.865892682616</v>
      </c>
      <c r="P238" s="16" t="s">
        <v>36</v>
      </c>
      <c r="Q238" s="14" t="s">
        <v>37</v>
      </c>
      <c r="R238" s="23">
        <v>210</v>
      </c>
      <c r="S238" s="119" t="s">
        <v>103</v>
      </c>
      <c r="T238" s="17">
        <f t="shared" si="127"/>
        <v>63.893309363120181</v>
      </c>
      <c r="U238" s="17">
        <f t="shared" si="128"/>
        <v>53.342218536583886</v>
      </c>
      <c r="V238" s="16"/>
      <c r="W238" s="16"/>
      <c r="X238" s="16"/>
      <c r="Y238" s="16"/>
      <c r="Z238" s="16"/>
      <c r="AA238" s="16"/>
      <c r="AB238" s="16"/>
      <c r="AC238" s="16" t="s">
        <v>39</v>
      </c>
      <c r="AD238" s="19"/>
    </row>
    <row r="239" spans="2:30">
      <c r="B239" s="14">
        <v>45601</v>
      </c>
      <c r="C239" s="105" t="s">
        <v>81</v>
      </c>
      <c r="D239" s="16" t="s">
        <v>358</v>
      </c>
      <c r="E239" s="16"/>
      <c r="F239" s="17"/>
      <c r="G239" s="16" t="s">
        <v>106</v>
      </c>
      <c r="H239" s="16">
        <f>405*210</f>
        <v>85050</v>
      </c>
      <c r="I239" s="16" t="s">
        <v>35</v>
      </c>
      <c r="J239" s="105" t="s">
        <v>354</v>
      </c>
      <c r="K239" s="17">
        <v>120.3</v>
      </c>
      <c r="L239" s="17">
        <f>0.908663*8.3454</f>
        <v>7.5831562001999995</v>
      </c>
      <c r="M239" s="18">
        <f t="shared" si="129"/>
        <v>11215.646592873411</v>
      </c>
      <c r="N239" s="17">
        <f t="shared" si="126"/>
        <v>13492.422851226715</v>
      </c>
      <c r="O239" s="17">
        <f t="shared" si="130"/>
        <v>11215.646592873411</v>
      </c>
      <c r="P239" s="16" t="s">
        <v>36</v>
      </c>
      <c r="Q239" s="14" t="s">
        <v>37</v>
      </c>
      <c r="R239" s="23">
        <v>210</v>
      </c>
      <c r="S239" s="119" t="s">
        <v>103</v>
      </c>
      <c r="T239" s="17">
        <f t="shared" si="127"/>
        <v>64.249632624889117</v>
      </c>
      <c r="U239" s="17">
        <f t="shared" si="128"/>
        <v>53.407840918444812</v>
      </c>
      <c r="V239" s="16"/>
      <c r="W239" s="16"/>
      <c r="X239" s="16"/>
      <c r="Y239" s="16"/>
      <c r="Z239" s="16"/>
      <c r="AA239" s="16"/>
      <c r="AB239" s="16"/>
      <c r="AC239" s="16" t="s">
        <v>39</v>
      </c>
      <c r="AD239" s="19"/>
    </row>
    <row r="240" spans="2:30">
      <c r="B240" s="14">
        <v>45601</v>
      </c>
      <c r="C240" s="105" t="s">
        <v>81</v>
      </c>
      <c r="D240" s="16" t="s">
        <v>359</v>
      </c>
      <c r="E240" s="16"/>
      <c r="F240" s="17"/>
      <c r="G240" s="16" t="s">
        <v>106</v>
      </c>
      <c r="H240" s="16">
        <v>86320</v>
      </c>
      <c r="I240" s="16" t="s">
        <v>35</v>
      </c>
      <c r="J240" s="105" t="s">
        <v>354</v>
      </c>
      <c r="K240" s="17">
        <v>119.77</v>
      </c>
      <c r="L240" s="17">
        <f>0.909257*8.3454</f>
        <v>7.5881133677999992</v>
      </c>
      <c r="M240" s="18">
        <f t="shared" si="129"/>
        <v>11375.686658332903</v>
      </c>
      <c r="N240" s="17">
        <f t="shared" si="126"/>
        <v>13624.659910685317</v>
      </c>
      <c r="O240" s="17">
        <f t="shared" si="130"/>
        <v>11375.686658332903</v>
      </c>
      <c r="P240" s="16" t="s">
        <v>36</v>
      </c>
      <c r="Q240" s="14" t="s">
        <v>37</v>
      </c>
      <c r="R240" s="23">
        <v>214</v>
      </c>
      <c r="S240" s="119" t="s">
        <v>103</v>
      </c>
      <c r="T240" s="17">
        <f t="shared" si="127"/>
        <v>63.666635096660364</v>
      </c>
      <c r="U240" s="17">
        <f t="shared" si="128"/>
        <v>53.157414291275245</v>
      </c>
      <c r="V240" s="16"/>
      <c r="W240" s="16"/>
      <c r="X240" s="16"/>
      <c r="Y240" s="16"/>
      <c r="Z240" s="16"/>
      <c r="AA240" s="16"/>
      <c r="AB240" s="16"/>
      <c r="AC240" s="16" t="s">
        <v>39</v>
      </c>
      <c r="AD240" s="19"/>
    </row>
    <row r="241" spans="1:32">
      <c r="B241" s="14">
        <v>45602</v>
      </c>
      <c r="C241" s="105" t="s">
        <v>81</v>
      </c>
      <c r="D241" s="16" t="s">
        <v>360</v>
      </c>
      <c r="E241" s="16"/>
      <c r="F241" s="17"/>
      <c r="G241" s="16" t="s">
        <v>106</v>
      </c>
      <c r="H241" s="16">
        <f>405*212</f>
        <v>85860</v>
      </c>
      <c r="I241" s="16" t="s">
        <v>35</v>
      </c>
      <c r="J241" s="105" t="s">
        <v>354</v>
      </c>
      <c r="K241" s="17">
        <v>119.89</v>
      </c>
      <c r="L241" s="17">
        <f>0.909137*8.3454</f>
        <v>7.5871119197999999</v>
      </c>
      <c r="M241" s="18">
        <f t="shared" si="129"/>
        <v>11316.559042174154</v>
      </c>
      <c r="N241" s="17">
        <f t="shared" si="126"/>
        <v>13567.422635662595</v>
      </c>
      <c r="O241" s="17">
        <f t="shared" si="130"/>
        <v>11316.559042174154</v>
      </c>
      <c r="P241" s="16" t="s">
        <v>36</v>
      </c>
      <c r="Q241" s="14" t="s">
        <v>37</v>
      </c>
      <c r="R241" s="23">
        <v>212</v>
      </c>
      <c r="S241" s="119" t="s">
        <v>103</v>
      </c>
      <c r="T241" s="17">
        <f t="shared" si="127"/>
        <v>63.997276583314125</v>
      </c>
      <c r="U241" s="17">
        <f t="shared" si="128"/>
        <v>53.379995481953557</v>
      </c>
      <c r="V241" s="16"/>
      <c r="W241" s="16"/>
      <c r="X241" s="16"/>
      <c r="Y241" s="16"/>
      <c r="Z241" s="16"/>
      <c r="AA241" s="16"/>
      <c r="AB241" s="16"/>
      <c r="AC241" s="16" t="s">
        <v>39</v>
      </c>
      <c r="AD241" s="19"/>
    </row>
    <row r="242" spans="1:32">
      <c r="B242" s="14">
        <v>45602</v>
      </c>
      <c r="C242" s="105" t="s">
        <v>81</v>
      </c>
      <c r="D242" s="16" t="s">
        <v>361</v>
      </c>
      <c r="E242" s="16"/>
      <c r="F242" s="17"/>
      <c r="G242" s="16" t="s">
        <v>106</v>
      </c>
      <c r="H242" s="16">
        <f>405*211</f>
        <v>85455</v>
      </c>
      <c r="I242" s="16" t="s">
        <v>35</v>
      </c>
      <c r="J242" s="105" t="s">
        <v>354</v>
      </c>
      <c r="K242" s="17">
        <v>120</v>
      </c>
      <c r="L242" s="17">
        <f>0.909005*8.3454</f>
        <v>7.5860103269999994</v>
      </c>
      <c r="M242" s="18">
        <f t="shared" si="129"/>
        <v>11264.814614850973</v>
      </c>
      <c r="N242" s="17">
        <f t="shared" si="126"/>
        <v>13517.777537821168</v>
      </c>
      <c r="O242" s="17">
        <f t="shared" si="130"/>
        <v>11264.814614850973</v>
      </c>
      <c r="P242" s="16" t="s">
        <v>36</v>
      </c>
      <c r="Q242" s="14" t="s">
        <v>37</v>
      </c>
      <c r="R242" s="23">
        <v>211</v>
      </c>
      <c r="S242" s="119" t="s">
        <v>103</v>
      </c>
      <c r="T242" s="17">
        <f t="shared" si="127"/>
        <v>64.065296387778048</v>
      </c>
      <c r="U242" s="17">
        <f t="shared" si="128"/>
        <v>53.387746989815035</v>
      </c>
      <c r="V242" s="16"/>
      <c r="W242" s="16"/>
      <c r="X242" s="16"/>
      <c r="Y242" s="16"/>
      <c r="Z242" s="16"/>
      <c r="AA242" s="16"/>
      <c r="AB242" s="16"/>
      <c r="AC242" s="16" t="s">
        <v>39</v>
      </c>
      <c r="AD242" s="19"/>
    </row>
    <row r="243" spans="1:32">
      <c r="B243" s="14">
        <v>45603</v>
      </c>
      <c r="C243" s="105" t="s">
        <v>81</v>
      </c>
      <c r="D243" s="16" t="s">
        <v>362</v>
      </c>
      <c r="E243" s="16"/>
      <c r="F243" s="17"/>
      <c r="G243" s="16" t="s">
        <v>106</v>
      </c>
      <c r="H243" s="16">
        <v>77715</v>
      </c>
      <c r="I243" s="16" t="s">
        <v>35</v>
      </c>
      <c r="J243" s="105" t="s">
        <v>354</v>
      </c>
      <c r="K243" s="17">
        <v>120.16</v>
      </c>
      <c r="L243" s="17">
        <f>0.908825*8.3454</f>
        <v>7.584508155</v>
      </c>
      <c r="M243" s="18">
        <f t="shared" si="129"/>
        <v>10246.544457700567</v>
      </c>
      <c r="N243" s="17">
        <f t="shared" si="126"/>
        <v>12312.247820373002</v>
      </c>
      <c r="O243" s="17">
        <f t="shared" si="130"/>
        <v>10246.544457700567</v>
      </c>
      <c r="P243" s="16" t="s">
        <v>92</v>
      </c>
      <c r="Q243" s="14" t="s">
        <v>37</v>
      </c>
      <c r="R243" s="23">
        <f>186+6</f>
        <v>192</v>
      </c>
      <c r="S243" s="119" t="s">
        <v>103</v>
      </c>
      <c r="T243" s="17">
        <f t="shared" si="127"/>
        <v>64.126290731109393</v>
      </c>
      <c r="U243" s="17">
        <f t="shared" si="128"/>
        <v>53.367419050523786</v>
      </c>
      <c r="V243" s="16"/>
      <c r="W243" s="16"/>
      <c r="X243" s="16"/>
      <c r="Y243" s="16"/>
      <c r="Z243" s="16"/>
      <c r="AA243" s="16"/>
      <c r="AB243" s="16"/>
      <c r="AC243" s="16" t="s">
        <v>39</v>
      </c>
      <c r="AD243" s="19"/>
    </row>
    <row r="244" spans="1:32">
      <c r="B244" s="14">
        <v>45604</v>
      </c>
      <c r="C244" s="105" t="s">
        <v>81</v>
      </c>
      <c r="D244" s="16" t="s">
        <v>363</v>
      </c>
      <c r="E244" s="16"/>
      <c r="F244" s="17"/>
      <c r="G244" s="16" t="s">
        <v>106</v>
      </c>
      <c r="H244" s="16">
        <v>82095</v>
      </c>
      <c r="I244" s="16" t="s">
        <v>35</v>
      </c>
      <c r="J244" s="105" t="s">
        <v>354</v>
      </c>
      <c r="K244" s="17">
        <v>120.24</v>
      </c>
      <c r="L244" s="17">
        <f>0.908728*8.3454</f>
        <v>7.5836986511999998</v>
      </c>
      <c r="M244" s="18">
        <f t="shared" si="129"/>
        <v>10825.19279520815</v>
      </c>
      <c r="N244" s="17">
        <f t="shared" si="126"/>
        <v>13016.211816958277</v>
      </c>
      <c r="O244" s="17">
        <f t="shared" si="130"/>
        <v>10825.19279520815</v>
      </c>
      <c r="P244" s="16" t="s">
        <v>92</v>
      </c>
      <c r="Q244" s="14" t="s">
        <v>37</v>
      </c>
      <c r="R244" s="23">
        <f>213-6</f>
        <v>207</v>
      </c>
      <c r="S244" s="119" t="s">
        <v>103</v>
      </c>
      <c r="T244" s="17">
        <f t="shared" si="127"/>
        <v>62.880250323469937</v>
      </c>
      <c r="U244" s="17">
        <f t="shared" si="128"/>
        <v>52.295617368155312</v>
      </c>
      <c r="V244" s="16"/>
      <c r="W244" s="16"/>
      <c r="X244" s="16"/>
      <c r="Y244" s="16"/>
      <c r="Z244" s="16"/>
      <c r="AA244" s="16"/>
      <c r="AB244" s="16"/>
      <c r="AC244" s="16" t="s">
        <v>39</v>
      </c>
      <c r="AD244" s="19"/>
    </row>
    <row r="245" spans="1:32">
      <c r="B245" s="14">
        <v>45604</v>
      </c>
      <c r="C245" s="105" t="s">
        <v>81</v>
      </c>
      <c r="D245" s="16" t="s">
        <v>364</v>
      </c>
      <c r="E245" s="16"/>
      <c r="F245" s="17"/>
      <c r="G245" s="16" t="s">
        <v>106</v>
      </c>
      <c r="H245" s="16">
        <v>70035</v>
      </c>
      <c r="I245" s="16" t="s">
        <v>35</v>
      </c>
      <c r="J245" s="105" t="s">
        <v>354</v>
      </c>
      <c r="K245" s="17">
        <v>119.89</v>
      </c>
      <c r="L245" s="17">
        <f>0.909126*8.3454</f>
        <v>7.5870201204000001</v>
      </c>
      <c r="M245" s="18">
        <f t="shared" si="129"/>
        <v>9230.8968328276478</v>
      </c>
      <c r="N245" s="17">
        <f t="shared" si="126"/>
        <v>11066.922212877067</v>
      </c>
      <c r="O245" s="17">
        <f t="shared" si="130"/>
        <v>9230.8968328276478</v>
      </c>
      <c r="P245" s="16" t="s">
        <v>92</v>
      </c>
      <c r="Q245" s="14" t="s">
        <v>37</v>
      </c>
      <c r="R245" s="23">
        <v>171</v>
      </c>
      <c r="S245" s="119" t="s">
        <v>103</v>
      </c>
      <c r="T245" s="17">
        <f t="shared" si="127"/>
        <v>64.718843350158281</v>
      </c>
      <c r="U245" s="17">
        <f t="shared" si="128"/>
        <v>53.981852823553496</v>
      </c>
      <c r="V245" s="16"/>
      <c r="W245" s="16"/>
      <c r="X245" s="16"/>
      <c r="Y245" s="16"/>
      <c r="Z245" s="16"/>
      <c r="AA245" s="16"/>
      <c r="AB245" s="16"/>
      <c r="AC245" s="16" t="s">
        <v>39</v>
      </c>
      <c r="AD245" s="19"/>
    </row>
    <row r="246" spans="1:32">
      <c r="B246" s="14">
        <v>45607</v>
      </c>
      <c r="C246" s="105" t="s">
        <v>81</v>
      </c>
      <c r="D246" s="16" t="s">
        <v>365</v>
      </c>
      <c r="E246" s="16"/>
      <c r="F246" s="17"/>
      <c r="G246" s="16" t="s">
        <v>106</v>
      </c>
      <c r="H246" s="16">
        <f>266*403</f>
        <v>107198</v>
      </c>
      <c r="I246" s="16" t="s">
        <v>35</v>
      </c>
      <c r="J246" s="105" t="s">
        <v>354</v>
      </c>
      <c r="K246" s="17">
        <v>120.04</v>
      </c>
      <c r="L246" s="17">
        <f>0.908951*8.3454</f>
        <v>7.585559675399999</v>
      </c>
      <c r="M246" s="18">
        <f t="shared" si="129"/>
        <v>14131.851120708146</v>
      </c>
      <c r="N246" s="17">
        <f t="shared" si="126"/>
        <v>16963.874085298063</v>
      </c>
      <c r="O246" s="17">
        <f t="shared" si="130"/>
        <v>14131.851120708146</v>
      </c>
      <c r="P246" s="16" t="s">
        <v>92</v>
      </c>
      <c r="Q246" s="14" t="s">
        <v>37</v>
      </c>
      <c r="R246" s="23">
        <v>266</v>
      </c>
      <c r="S246" s="119" t="s">
        <v>103</v>
      </c>
      <c r="T246" s="17">
        <f t="shared" ref="T246:T284" si="166">(N246-V246)/R246</f>
        <v>63.773962726684445</v>
      </c>
      <c r="U246" s="17">
        <f t="shared" si="128"/>
        <v>53.127259852286265</v>
      </c>
      <c r="V246" s="16"/>
      <c r="W246" s="16"/>
      <c r="X246" s="16"/>
      <c r="Y246" s="16"/>
      <c r="Z246" s="16"/>
      <c r="AA246" s="16"/>
      <c r="AB246" s="16"/>
      <c r="AC246" s="16" t="s">
        <v>39</v>
      </c>
      <c r="AD246" s="19"/>
    </row>
    <row r="247" spans="1:32">
      <c r="B247" s="14">
        <v>45607</v>
      </c>
      <c r="C247" s="105" t="s">
        <v>81</v>
      </c>
      <c r="D247" s="16" t="s">
        <v>366</v>
      </c>
      <c r="E247" s="16"/>
      <c r="F247" s="17"/>
      <c r="G247" s="16"/>
      <c r="H247" s="16">
        <v>82275</v>
      </c>
      <c r="I247" s="16" t="s">
        <v>35</v>
      </c>
      <c r="J247" s="105" t="s">
        <v>354</v>
      </c>
      <c r="K247" s="17">
        <v>120.18</v>
      </c>
      <c r="L247" s="17">
        <f>0.908799*8.3454</f>
        <v>7.5842911745999997</v>
      </c>
      <c r="M247" s="18">
        <f t="shared" ref="M247" si="167">(H247/L247)</f>
        <v>10848.080342107809</v>
      </c>
      <c r="N247" s="17">
        <f t="shared" ref="N247" si="168">(M247*(K247/100))</f>
        <v>13037.222955145164</v>
      </c>
      <c r="O247" s="17">
        <f t="shared" ref="O247" si="169">H247/L247</f>
        <v>10848.080342107809</v>
      </c>
      <c r="P247" s="16" t="s">
        <v>92</v>
      </c>
      <c r="Q247" s="14" t="s">
        <v>37</v>
      </c>
      <c r="R247" s="23">
        <f>32+124+47</f>
        <v>203</v>
      </c>
      <c r="S247" s="119" t="s">
        <v>103</v>
      </c>
      <c r="T247" s="17">
        <f t="shared" ref="T247" si="170">(N247-V247)/R247</f>
        <v>64.222773178054993</v>
      </c>
      <c r="U247" s="17">
        <f t="shared" ref="U247" si="171">(O247-V247)/R247</f>
        <v>53.438819419250294</v>
      </c>
      <c r="V247" s="16"/>
      <c r="W247" s="16"/>
      <c r="X247" s="16"/>
      <c r="Y247" s="16"/>
      <c r="Z247" s="16"/>
      <c r="AA247" s="16"/>
      <c r="AB247" s="16"/>
      <c r="AC247" s="16" t="s">
        <v>39</v>
      </c>
      <c r="AD247" s="19"/>
    </row>
    <row r="248" spans="1:32">
      <c r="B248" s="14">
        <v>45608</v>
      </c>
      <c r="C248" s="105" t="s">
        <v>81</v>
      </c>
      <c r="D248" s="16" t="s">
        <v>367</v>
      </c>
      <c r="E248" s="16"/>
      <c r="F248" s="17"/>
      <c r="G248" s="16"/>
      <c r="H248" s="16">
        <v>84115</v>
      </c>
      <c r="I248" s="16" t="s">
        <v>35</v>
      </c>
      <c r="J248" s="105" t="s">
        <v>354</v>
      </c>
      <c r="K248" s="17">
        <v>119.92</v>
      </c>
      <c r="L248" s="17">
        <f>0.909084*8.3454</f>
        <v>7.5866696135999998</v>
      </c>
      <c r="M248" s="18">
        <f t="shared" ref="M248:M249" si="172">(H248/L248)</f>
        <v>11087.210104577896</v>
      </c>
      <c r="N248" s="17">
        <f t="shared" ref="N248:N249" si="173">(M248*(K248/100))</f>
        <v>13295.782357409813</v>
      </c>
      <c r="O248" s="17">
        <f t="shared" ref="O248:O249" si="174">H248/L248</f>
        <v>11087.210104577896</v>
      </c>
      <c r="P248" s="16" t="s">
        <v>92</v>
      </c>
      <c r="Q248" s="14" t="s">
        <v>37</v>
      </c>
      <c r="R248" s="23">
        <v>205</v>
      </c>
      <c r="S248" s="119" t="s">
        <v>103</v>
      </c>
      <c r="T248" s="17">
        <f t="shared" ref="T248:T249" si="175">(N248-V248)/R248</f>
        <v>64.857474914194214</v>
      </c>
      <c r="U248" s="17">
        <f t="shared" ref="U248:U249" si="176">(O248-V248)/R248</f>
        <v>54.083951729648277</v>
      </c>
      <c r="V248" s="16"/>
      <c r="W248" s="16"/>
      <c r="X248" s="16"/>
      <c r="Y248" s="16"/>
      <c r="Z248" s="16"/>
      <c r="AA248" s="16"/>
      <c r="AB248" s="16"/>
      <c r="AC248" s="16" t="s">
        <v>39</v>
      </c>
      <c r="AD248" s="19"/>
    </row>
    <row r="249" spans="1:32">
      <c r="B249" s="14">
        <v>45608</v>
      </c>
      <c r="C249" s="105" t="s">
        <v>81</v>
      </c>
      <c r="D249" s="16" t="s">
        <v>368</v>
      </c>
      <c r="E249" s="16"/>
      <c r="F249" s="17"/>
      <c r="G249" s="16"/>
      <c r="H249" s="16">
        <f>22*402.5</f>
        <v>8855</v>
      </c>
      <c r="I249" s="16" t="s">
        <v>35</v>
      </c>
      <c r="J249" s="105" t="s">
        <v>354</v>
      </c>
      <c r="K249" s="17">
        <v>120.18</v>
      </c>
      <c r="L249" s="17">
        <f>0.908796*8.3454</f>
        <v>7.5842661384000003</v>
      </c>
      <c r="M249" s="18">
        <f t="shared" si="172"/>
        <v>1167.5486907251486</v>
      </c>
      <c r="N249" s="17">
        <f t="shared" si="173"/>
        <v>1403.1600165134837</v>
      </c>
      <c r="O249" s="17">
        <f t="shared" si="174"/>
        <v>1167.5486907251486</v>
      </c>
      <c r="P249" s="16" t="s">
        <v>36</v>
      </c>
      <c r="Q249" s="14" t="s">
        <v>37</v>
      </c>
      <c r="R249" s="23">
        <v>22</v>
      </c>
      <c r="S249" s="119" t="s">
        <v>103</v>
      </c>
      <c r="T249" s="17">
        <f t="shared" si="175"/>
        <v>63.780000750612892</v>
      </c>
      <c r="U249" s="17">
        <f t="shared" si="176"/>
        <v>53.070395032961301</v>
      </c>
      <c r="V249" s="16"/>
      <c r="W249" s="16"/>
      <c r="X249" s="16"/>
      <c r="Y249" s="16"/>
      <c r="Z249" s="16"/>
      <c r="AA249" s="16"/>
      <c r="AB249" s="16"/>
      <c r="AC249" s="16" t="s">
        <v>39</v>
      </c>
      <c r="AD249" s="19"/>
    </row>
    <row r="250" spans="1:32" s="175" customFormat="1">
      <c r="A250"/>
      <c r="B250" s="108">
        <v>45608</v>
      </c>
      <c r="C250" s="134" t="s">
        <v>369</v>
      </c>
      <c r="D250" s="111" t="s">
        <v>370</v>
      </c>
      <c r="E250" s="111"/>
      <c r="F250" s="112"/>
      <c r="G250" s="111"/>
      <c r="H250" s="111">
        <f>402.5*5</f>
        <v>2012.5</v>
      </c>
      <c r="I250" s="111" t="s">
        <v>35</v>
      </c>
      <c r="J250" s="111" t="s">
        <v>138</v>
      </c>
      <c r="K250" s="112">
        <v>120.18</v>
      </c>
      <c r="L250" s="112">
        <f>0.908796*8.3454</f>
        <v>7.5842661384000003</v>
      </c>
      <c r="M250" s="113">
        <f t="shared" ref="M250" si="177">(H250/L250)</f>
        <v>265.3519751648065</v>
      </c>
      <c r="N250" s="112">
        <f t="shared" ref="N250" si="178">(M250*(K250/100))</f>
        <v>318.90000375306442</v>
      </c>
      <c r="O250" s="112">
        <f t="shared" ref="O250" si="179">H250/L250</f>
        <v>265.3519751648065</v>
      </c>
      <c r="P250" s="111" t="s">
        <v>36</v>
      </c>
      <c r="Q250" s="111" t="s">
        <v>37</v>
      </c>
      <c r="R250" s="114">
        <v>5</v>
      </c>
      <c r="S250" s="133" t="s">
        <v>103</v>
      </c>
      <c r="T250" s="112">
        <f t="shared" ref="T250" si="180">(N250-V250)/R250</f>
        <v>63.780000750612885</v>
      </c>
      <c r="U250" s="112">
        <f t="shared" ref="U250" si="181">(O250-V250)/R250</f>
        <v>53.070395032961301</v>
      </c>
      <c r="V250" s="111"/>
      <c r="W250" s="111"/>
      <c r="X250" s="111"/>
      <c r="Y250" s="111"/>
      <c r="Z250" s="111"/>
      <c r="AA250" s="111"/>
      <c r="AB250" s="111"/>
      <c r="AC250" s="111" t="s">
        <v>39</v>
      </c>
      <c r="AD250" s="178"/>
      <c r="AF250"/>
    </row>
    <row r="251" spans="1:32" s="175" customFormat="1">
      <c r="A251"/>
      <c r="B251" s="108">
        <v>45609</v>
      </c>
      <c r="C251" s="134" t="s">
        <v>369</v>
      </c>
      <c r="D251" s="111" t="s">
        <v>371</v>
      </c>
      <c r="E251" s="111"/>
      <c r="F251" s="112"/>
      <c r="G251" s="111"/>
      <c r="H251" s="111">
        <f>402.5*223</f>
        <v>89757.5</v>
      </c>
      <c r="I251" s="111" t="s">
        <v>35</v>
      </c>
      <c r="J251" s="111" t="s">
        <v>138</v>
      </c>
      <c r="K251" s="112">
        <v>119.96</v>
      </c>
      <c r="L251" s="112">
        <f>0.909028*8.3454</f>
        <v>7.5862022711999995</v>
      </c>
      <c r="M251" s="113">
        <f t="shared" ref="M251:M252" si="182">(H251/L251)</f>
        <v>11831.677668383867</v>
      </c>
      <c r="N251" s="112">
        <f t="shared" ref="N251:N252" si="183">(M251*(K251/100))</f>
        <v>14193.280530993286</v>
      </c>
      <c r="O251" s="112">
        <f t="shared" ref="O251:O252" si="184">H251/L251</f>
        <v>11831.677668383867</v>
      </c>
      <c r="P251" s="111" t="s">
        <v>36</v>
      </c>
      <c r="Q251" s="111" t="s">
        <v>37</v>
      </c>
      <c r="R251" s="114">
        <v>223</v>
      </c>
      <c r="S251" s="133" t="s">
        <v>103</v>
      </c>
      <c r="T251" s="112">
        <f t="shared" ref="T251" si="185">(N251-V251)/R251</f>
        <v>63.646997896830882</v>
      </c>
      <c r="U251" s="112">
        <f t="shared" ref="U251" si="186">(O251-V251)/R251</f>
        <v>53.056850530869362</v>
      </c>
      <c r="V251" s="111"/>
      <c r="W251" s="111"/>
      <c r="X251" s="111"/>
      <c r="Y251" s="111"/>
      <c r="Z251" s="111"/>
      <c r="AA251" s="111"/>
      <c r="AB251" s="111"/>
      <c r="AC251" s="111" t="s">
        <v>39</v>
      </c>
      <c r="AD251" s="178"/>
    </row>
    <row r="252" spans="1:32" s="175" customFormat="1">
      <c r="A252"/>
      <c r="B252" s="108">
        <v>45608</v>
      </c>
      <c r="C252" s="134" t="s">
        <v>369</v>
      </c>
      <c r="D252" s="111" t="s">
        <v>372</v>
      </c>
      <c r="E252" s="111"/>
      <c r="F252" s="112"/>
      <c r="G252" s="111"/>
      <c r="H252" s="111">
        <f>177*402.5</f>
        <v>71242.5</v>
      </c>
      <c r="I252" s="111" t="s">
        <v>35</v>
      </c>
      <c r="J252" s="111"/>
      <c r="K252" s="112">
        <v>120.18</v>
      </c>
      <c r="L252" s="112">
        <f>0.908796*8.3454</f>
        <v>7.5842661384000003</v>
      </c>
      <c r="M252" s="113">
        <f t="shared" si="182"/>
        <v>9393.4599208341515</v>
      </c>
      <c r="N252" s="112">
        <f t="shared" si="183"/>
        <v>11289.060132858483</v>
      </c>
      <c r="O252" s="112">
        <f t="shared" si="184"/>
        <v>9393.4599208341515</v>
      </c>
      <c r="P252" s="111" t="s">
        <v>36</v>
      </c>
      <c r="Q252" s="111" t="s">
        <v>37</v>
      </c>
      <c r="R252" s="114">
        <v>177</v>
      </c>
      <c r="S252" s="133" t="s">
        <v>103</v>
      </c>
      <c r="T252" s="112">
        <f t="shared" ref="T252" si="187">(N252-V252)/R252</f>
        <v>63.780000750612899</v>
      </c>
      <c r="U252" s="112">
        <f t="shared" ref="U252" si="188">(O252-V252)/R252</f>
        <v>53.070395032961308</v>
      </c>
      <c r="V252" s="111"/>
      <c r="W252" s="111"/>
      <c r="X252" s="111"/>
      <c r="Y252" s="111"/>
      <c r="Z252" s="111"/>
      <c r="AA252" s="111"/>
      <c r="AB252" s="111"/>
      <c r="AC252" s="111"/>
      <c r="AD252" s="178"/>
    </row>
    <row r="253" spans="1:32">
      <c r="B253" s="14">
        <v>45607</v>
      </c>
      <c r="C253" s="105" t="s">
        <v>373</v>
      </c>
      <c r="D253" s="16" t="s">
        <v>374</v>
      </c>
      <c r="E253" s="16"/>
      <c r="F253" s="17"/>
      <c r="G253" s="16" t="s">
        <v>106</v>
      </c>
      <c r="H253" s="16">
        <v>40940</v>
      </c>
      <c r="I253" s="16" t="s">
        <v>157</v>
      </c>
      <c r="J253" s="105" t="s">
        <v>375</v>
      </c>
      <c r="K253" s="127">
        <v>120.19</v>
      </c>
      <c r="L253" s="17">
        <f>0.908786*8.3454</f>
        <v>7.5841826844</v>
      </c>
      <c r="M253" s="194">
        <f t="shared" si="129"/>
        <v>5398.0767214653197</v>
      </c>
      <c r="N253" s="185">
        <f t="shared" ref="N253:N285" si="189">(M253*(K253/100))</f>
        <v>6487.948411529168</v>
      </c>
      <c r="O253" s="17">
        <f t="shared" si="130"/>
        <v>5398.0767214653197</v>
      </c>
      <c r="P253" s="16" t="s">
        <v>92</v>
      </c>
      <c r="Q253" s="14" t="s">
        <v>37</v>
      </c>
      <c r="R253" s="23">
        <v>102</v>
      </c>
      <c r="S253" s="119" t="s">
        <v>103</v>
      </c>
      <c r="T253" s="17">
        <f t="shared" si="166"/>
        <v>63.60733736793302</v>
      </c>
      <c r="U253" s="17">
        <f t="shared" ref="U253:U285" si="190">(O253-V253)/R253</f>
        <v>52.922320798679607</v>
      </c>
      <c r="V253" s="16"/>
      <c r="W253" s="16"/>
      <c r="X253" s="16"/>
      <c r="Y253" s="16"/>
      <c r="Z253" s="16"/>
      <c r="AA253" s="16"/>
      <c r="AB253" s="16"/>
      <c r="AC253" s="16" t="s">
        <v>39</v>
      </c>
      <c r="AD253" s="24">
        <f>N253/(1183.7)</f>
        <v>5.4810749442672702</v>
      </c>
      <c r="AF253" s="175"/>
    </row>
    <row r="254" spans="1:32">
      <c r="B254" s="14">
        <v>45609</v>
      </c>
      <c r="C254" s="105" t="s">
        <v>173</v>
      </c>
      <c r="D254" s="16" t="s">
        <v>376</v>
      </c>
      <c r="E254" s="16"/>
      <c r="F254" s="17"/>
      <c r="G254" s="16" t="s">
        <v>106</v>
      </c>
      <c r="H254" s="16">
        <v>83835</v>
      </c>
      <c r="I254" s="16" t="s">
        <v>35</v>
      </c>
      <c r="J254" s="105" t="s">
        <v>377</v>
      </c>
      <c r="K254" s="17">
        <v>119.96</v>
      </c>
      <c r="L254" s="17">
        <f>0.909028*8.3454</f>
        <v>7.5862022711999995</v>
      </c>
      <c r="M254" s="18">
        <f t="shared" si="129"/>
        <v>11050.984010572503</v>
      </c>
      <c r="N254" s="17">
        <f t="shared" si="189"/>
        <v>13256.760419082775</v>
      </c>
      <c r="O254" s="17">
        <f t="shared" si="130"/>
        <v>11050.984010572503</v>
      </c>
      <c r="P254" s="16" t="s">
        <v>36</v>
      </c>
      <c r="Q254" s="14" t="s">
        <v>37</v>
      </c>
      <c r="R254" s="23">
        <v>207</v>
      </c>
      <c r="S254" s="119" t="s">
        <v>103</v>
      </c>
      <c r="T254" s="17">
        <f t="shared" si="166"/>
        <v>64.042320865134172</v>
      </c>
      <c r="U254" s="17">
        <f t="shared" si="190"/>
        <v>53.386396186340598</v>
      </c>
      <c r="V254" s="16"/>
      <c r="W254" s="16"/>
      <c r="X254" s="16"/>
      <c r="Y254" s="16"/>
      <c r="Z254" s="16"/>
      <c r="AA254" s="16"/>
      <c r="AB254" s="16"/>
      <c r="AC254" s="16" t="s">
        <v>378</v>
      </c>
      <c r="AD254" s="24">
        <f>SUM(N254:N260)/((12*3*20500)/56)</f>
        <v>5.1018644177126431</v>
      </c>
    </row>
    <row r="255" spans="1:32">
      <c r="B255" s="14">
        <v>45610</v>
      </c>
      <c r="C255" s="105" t="s">
        <v>173</v>
      </c>
      <c r="D255" s="16" t="s">
        <v>379</v>
      </c>
      <c r="E255" s="16"/>
      <c r="F255" s="17"/>
      <c r="G255" s="16" t="s">
        <v>106</v>
      </c>
      <c r="H255" s="16">
        <v>82195</v>
      </c>
      <c r="I255" s="16" t="s">
        <v>35</v>
      </c>
      <c r="J255" s="105" t="s">
        <v>377</v>
      </c>
      <c r="K255" s="17">
        <v>119.84</v>
      </c>
      <c r="L255" s="17">
        <f>0.909028*8.3454</f>
        <v>7.5862022711999995</v>
      </c>
      <c r="M255" s="18">
        <f t="shared" si="129"/>
        <v>10834.80206058337</v>
      </c>
      <c r="N255" s="17">
        <f t="shared" si="189"/>
        <v>12984.426789403113</v>
      </c>
      <c r="O255" s="17">
        <f t="shared" si="130"/>
        <v>10834.80206058337</v>
      </c>
      <c r="P255" s="16" t="s">
        <v>36</v>
      </c>
      <c r="Q255" s="14" t="s">
        <v>37</v>
      </c>
      <c r="R255" s="23">
        <v>207</v>
      </c>
      <c r="S255" s="119" t="s">
        <v>103</v>
      </c>
      <c r="T255" s="17">
        <f t="shared" si="166"/>
        <v>62.726699465715519</v>
      </c>
      <c r="U255" s="17">
        <f t="shared" si="190"/>
        <v>52.34203894001628</v>
      </c>
      <c r="V255" s="16"/>
      <c r="W255" s="16"/>
      <c r="X255" s="16"/>
      <c r="Y255" s="16"/>
      <c r="Z255" s="16"/>
      <c r="AA255" s="16"/>
      <c r="AB255" s="16"/>
      <c r="AC255" s="16" t="s">
        <v>378</v>
      </c>
      <c r="AD255" s="19"/>
    </row>
    <row r="256" spans="1:32">
      <c r="B256" s="14">
        <v>45610</v>
      </c>
      <c r="C256" s="105" t="s">
        <v>173</v>
      </c>
      <c r="D256" s="16" t="s">
        <v>380</v>
      </c>
      <c r="E256" s="16"/>
      <c r="F256" s="17"/>
      <c r="G256" s="16" t="s">
        <v>106</v>
      </c>
      <c r="H256" s="16">
        <v>84825</v>
      </c>
      <c r="I256" s="16" t="s">
        <v>35</v>
      </c>
      <c r="J256" s="105" t="s">
        <v>377</v>
      </c>
      <c r="K256" s="17">
        <v>119.7</v>
      </c>
      <c r="L256" s="17">
        <f>0.909336*8.3454</f>
        <v>7.5887726543999996</v>
      </c>
      <c r="M256" s="18">
        <f t="shared" si="129"/>
        <v>11177.696824376224</v>
      </c>
      <c r="N256" s="17">
        <f t="shared" si="189"/>
        <v>13379.70309877834</v>
      </c>
      <c r="O256" s="17">
        <f t="shared" si="130"/>
        <v>11177.696824376224</v>
      </c>
      <c r="P256" s="16" t="s">
        <v>36</v>
      </c>
      <c r="Q256" s="14" t="s">
        <v>37</v>
      </c>
      <c r="R256" s="23">
        <v>209</v>
      </c>
      <c r="S256" s="119" t="s">
        <v>103</v>
      </c>
      <c r="T256" s="17">
        <f t="shared" si="166"/>
        <v>64.017718175972917</v>
      </c>
      <c r="U256" s="17">
        <f t="shared" si="190"/>
        <v>53.481802987446045</v>
      </c>
      <c r="V256" s="16"/>
      <c r="W256" s="16"/>
      <c r="X256" s="16"/>
      <c r="Y256" s="16"/>
      <c r="Z256" s="16"/>
      <c r="AA256" s="16"/>
      <c r="AB256" s="16"/>
      <c r="AC256" s="16" t="s">
        <v>378</v>
      </c>
      <c r="AD256" s="19"/>
    </row>
    <row r="257" spans="2:30">
      <c r="B257" s="14">
        <v>45611</v>
      </c>
      <c r="C257" s="105" t="s">
        <v>173</v>
      </c>
      <c r="D257" s="16" t="s">
        <v>381</v>
      </c>
      <c r="E257" s="16"/>
      <c r="F257" s="17"/>
      <c r="G257" s="16" t="s">
        <v>106</v>
      </c>
      <c r="H257" s="16">
        <v>81685</v>
      </c>
      <c r="I257" s="16" t="s">
        <v>35</v>
      </c>
      <c r="J257" s="105" t="s">
        <v>377</v>
      </c>
      <c r="K257" s="17">
        <v>119.88</v>
      </c>
      <c r="L257" s="17">
        <f>0.909132*8.3454</f>
        <v>7.5870701927999997</v>
      </c>
      <c r="M257" s="18">
        <f t="shared" si="129"/>
        <v>10766.342991991516</v>
      </c>
      <c r="N257" s="17">
        <f t="shared" si="189"/>
        <v>12906.691978799428</v>
      </c>
      <c r="O257" s="17">
        <f t="shared" si="130"/>
        <v>10766.342991991516</v>
      </c>
      <c r="P257" s="16" t="s">
        <v>36</v>
      </c>
      <c r="Q257" s="14" t="s">
        <v>37</v>
      </c>
      <c r="R257" s="23">
        <v>206</v>
      </c>
      <c r="S257" s="119" t="s">
        <v>103</v>
      </c>
      <c r="T257" s="17">
        <f t="shared" si="166"/>
        <v>62.653844557278781</v>
      </c>
      <c r="U257" s="17">
        <f t="shared" si="190"/>
        <v>52.26380093199765</v>
      </c>
      <c r="V257" s="16"/>
      <c r="W257" s="16"/>
      <c r="X257" s="16"/>
      <c r="Y257" s="16"/>
      <c r="Z257" s="16"/>
      <c r="AA257" s="16"/>
      <c r="AB257" s="16"/>
      <c r="AC257" s="16" t="s">
        <v>378</v>
      </c>
      <c r="AD257" s="19"/>
    </row>
    <row r="258" spans="2:30">
      <c r="B258" s="14">
        <v>45611</v>
      </c>
      <c r="C258" s="105" t="s">
        <v>173</v>
      </c>
      <c r="D258" s="16" t="s">
        <v>382</v>
      </c>
      <c r="E258" s="16"/>
      <c r="F258" s="17"/>
      <c r="G258" s="16" t="s">
        <v>106</v>
      </c>
      <c r="H258" s="16">
        <f>116*402.5</f>
        <v>46690</v>
      </c>
      <c r="I258" s="16" t="s">
        <v>35</v>
      </c>
      <c r="J258" s="105" t="s">
        <v>377</v>
      </c>
      <c r="K258" s="17">
        <v>120.03</v>
      </c>
      <c r="L258" s="17">
        <f>0.908967*8.3454</f>
        <v>7.5856932017999998</v>
      </c>
      <c r="M258" s="18">
        <f t="shared" si="129"/>
        <v>6155.0076911785709</v>
      </c>
      <c r="N258" s="17">
        <f t="shared" si="189"/>
        <v>7387.8557317216382</v>
      </c>
      <c r="O258" s="17">
        <f t="shared" si="130"/>
        <v>6155.0076911785709</v>
      </c>
      <c r="P258" s="16" t="s">
        <v>36</v>
      </c>
      <c r="Q258" s="14" t="s">
        <v>37</v>
      </c>
      <c r="R258" s="23">
        <v>116</v>
      </c>
      <c r="S258" s="119" t="s">
        <v>103</v>
      </c>
      <c r="T258" s="17">
        <f t="shared" si="166"/>
        <v>63.688411480358951</v>
      </c>
      <c r="U258" s="17">
        <f t="shared" si="190"/>
        <v>53.060411130849751</v>
      </c>
      <c r="V258" s="16"/>
      <c r="W258" s="16"/>
      <c r="X258" s="16"/>
      <c r="Y258" s="16"/>
      <c r="Z258" s="16"/>
      <c r="AA258" s="16"/>
      <c r="AB258" s="16"/>
      <c r="AC258" s="16" t="s">
        <v>378</v>
      </c>
      <c r="AD258" s="19"/>
    </row>
    <row r="259" spans="2:30">
      <c r="B259" s="14">
        <v>45611</v>
      </c>
      <c r="C259" s="104" t="s">
        <v>173</v>
      </c>
      <c r="D259" s="16" t="s">
        <v>383</v>
      </c>
      <c r="E259" s="16"/>
      <c r="F259" s="17"/>
      <c r="G259" s="16"/>
      <c r="H259" s="16">
        <f>114*402.5</f>
        <v>45885</v>
      </c>
      <c r="I259" s="16" t="s">
        <v>35</v>
      </c>
      <c r="J259" s="20" t="s">
        <v>32</v>
      </c>
      <c r="K259" s="17">
        <v>120.03</v>
      </c>
      <c r="L259" s="17">
        <v>7.59</v>
      </c>
      <c r="M259" s="18">
        <f>(H259/L259)</f>
        <v>6045.454545454546</v>
      </c>
      <c r="N259" s="17">
        <f>(M259*(K259/100))</f>
        <v>7256.3590909090908</v>
      </c>
      <c r="O259" s="17">
        <f>H259/L259</f>
        <v>6045.454545454546</v>
      </c>
      <c r="P259" s="16" t="s">
        <v>36</v>
      </c>
      <c r="Q259" s="14" t="s">
        <v>37</v>
      </c>
      <c r="R259" s="23">
        <v>114</v>
      </c>
      <c r="S259" s="119" t="s">
        <v>103</v>
      </c>
      <c r="T259" s="17">
        <f>(N259-V259)/R259</f>
        <v>63.652272727272724</v>
      </c>
      <c r="U259" s="17">
        <f>(O259-V259)/R259</f>
        <v>53.030303030303031</v>
      </c>
      <c r="V259" s="16"/>
      <c r="W259" s="16"/>
      <c r="X259" s="16"/>
      <c r="Y259" s="16"/>
      <c r="Z259" s="16"/>
      <c r="AA259" s="16"/>
      <c r="AB259" s="16"/>
      <c r="AC259" s="16" t="s">
        <v>39</v>
      </c>
      <c r="AD259" s="19"/>
    </row>
    <row r="260" spans="2:30">
      <c r="B260" s="14">
        <v>45610</v>
      </c>
      <c r="C260" s="104" t="s">
        <v>173</v>
      </c>
      <c r="D260" s="102" t="s">
        <v>384</v>
      </c>
      <c r="E260" s="16"/>
      <c r="F260" s="17"/>
      <c r="G260" s="16"/>
      <c r="H260" s="16">
        <f>402.5*1</f>
        <v>402.5</v>
      </c>
      <c r="I260" s="16" t="s">
        <v>35</v>
      </c>
      <c r="J260" s="20" t="s">
        <v>32</v>
      </c>
      <c r="K260" s="17">
        <v>119.7</v>
      </c>
      <c r="L260" s="17">
        <f>0.909336*8.3454</f>
        <v>7.5887726543999996</v>
      </c>
      <c r="M260" s="18">
        <f t="shared" ref="M260" si="191">(H260/L260)</f>
        <v>53.038879714841499</v>
      </c>
      <c r="N260" s="17">
        <f t="shared" ref="N260" si="192">(M260*(K260/100))</f>
        <v>63.487539018665281</v>
      </c>
      <c r="O260" s="17">
        <f t="shared" ref="O260" si="193">H260/L260</f>
        <v>53.038879714841499</v>
      </c>
      <c r="P260" s="16" t="s">
        <v>36</v>
      </c>
      <c r="Q260" s="14" t="s">
        <v>37</v>
      </c>
      <c r="R260" s="16">
        <v>1</v>
      </c>
      <c r="S260" s="119" t="s">
        <v>103</v>
      </c>
      <c r="T260" s="17">
        <f t="shared" ref="T260" si="194">(N260-V260)/R260</f>
        <v>63.487539018665281</v>
      </c>
      <c r="U260" s="17">
        <f t="shared" ref="U260" si="195">(O260-V260)/R260</f>
        <v>53.038879714841499</v>
      </c>
      <c r="V260" s="16"/>
      <c r="W260" s="16"/>
      <c r="X260" s="16"/>
      <c r="Y260" s="16"/>
      <c r="Z260" s="16"/>
      <c r="AA260" s="16"/>
      <c r="AB260" s="16"/>
      <c r="AC260" s="16" t="s">
        <v>39</v>
      </c>
      <c r="AD260" s="19" t="s">
        <v>385</v>
      </c>
    </row>
    <row r="261" spans="2:30">
      <c r="B261" s="14">
        <v>45614</v>
      </c>
      <c r="C261" s="105" t="s">
        <v>167</v>
      </c>
      <c r="D261" s="16" t="s">
        <v>386</v>
      </c>
      <c r="E261" s="16"/>
      <c r="F261" s="17"/>
      <c r="G261" s="16" t="s">
        <v>106</v>
      </c>
      <c r="H261" s="16">
        <v>83745</v>
      </c>
      <c r="I261" s="16" t="s">
        <v>35</v>
      </c>
      <c r="J261" s="16"/>
      <c r="K261" s="17">
        <v>120.28</v>
      </c>
      <c r="L261" s="17">
        <f>0.908682*8.3454</f>
        <v>7.5833147627999997</v>
      </c>
      <c r="M261" s="18">
        <f t="shared" ref="M261:M291" si="196">(H261/L261)</f>
        <v>11043.323746867483</v>
      </c>
      <c r="N261" s="17">
        <f t="shared" si="189"/>
        <v>13282.909802732211</v>
      </c>
      <c r="O261" s="17">
        <f t="shared" ref="O261:O291" si="197">H261/L261</f>
        <v>11043.323746867483</v>
      </c>
      <c r="P261" s="16" t="s">
        <v>36</v>
      </c>
      <c r="Q261" s="14" t="s">
        <v>37</v>
      </c>
      <c r="R261" s="23">
        <v>208</v>
      </c>
      <c r="S261" s="119" t="s">
        <v>103</v>
      </c>
      <c r="T261" s="17">
        <f t="shared" si="166"/>
        <v>63.860143282366394</v>
      </c>
      <c r="U261" s="17">
        <f t="shared" si="190"/>
        <v>53.092902629170595</v>
      </c>
      <c r="V261" s="16"/>
      <c r="W261" s="16"/>
      <c r="X261" s="16"/>
      <c r="Y261" s="16"/>
      <c r="Z261" s="16"/>
      <c r="AA261" s="16"/>
      <c r="AB261" s="16"/>
      <c r="AC261" s="16" t="s">
        <v>378</v>
      </c>
      <c r="AD261" s="24">
        <f>SUM(N261:N269)/((14*3*20500)/56)</f>
        <v>5.4935695729346268</v>
      </c>
    </row>
    <row r="262" spans="2:30">
      <c r="B262" s="14">
        <v>45614</v>
      </c>
      <c r="C262" s="105" t="s">
        <v>167</v>
      </c>
      <c r="D262" s="16" t="s">
        <v>387</v>
      </c>
      <c r="E262" s="16"/>
      <c r="F262" s="17"/>
      <c r="G262" s="16" t="s">
        <v>106</v>
      </c>
      <c r="H262" s="16">
        <f>208*402.5</f>
        <v>83720</v>
      </c>
      <c r="I262" s="16" t="s">
        <v>35</v>
      </c>
      <c r="J262" s="16"/>
      <c r="K262" s="17">
        <v>120.15</v>
      </c>
      <c r="L262" s="17">
        <f>0.908835*8.3454</f>
        <v>7.5845916089999994</v>
      </c>
      <c r="M262" s="18">
        <f t="shared" si="196"/>
        <v>11038.168475762952</v>
      </c>
      <c r="N262" s="17">
        <f t="shared" si="189"/>
        <v>13262.359423629186</v>
      </c>
      <c r="O262" s="17">
        <f t="shared" si="197"/>
        <v>11038.168475762952</v>
      </c>
      <c r="P262" s="16" t="s">
        <v>36</v>
      </c>
      <c r="Q262" s="14" t="s">
        <v>37</v>
      </c>
      <c r="R262" s="23">
        <v>208</v>
      </c>
      <c r="S262" s="119" t="s">
        <v>103</v>
      </c>
      <c r="T262" s="17">
        <f t="shared" si="166"/>
        <v>63.761343382832628</v>
      </c>
      <c r="U262" s="17">
        <f t="shared" si="190"/>
        <v>53.068117671937266</v>
      </c>
      <c r="V262" s="16"/>
      <c r="W262" s="16"/>
      <c r="X262" s="16"/>
      <c r="Y262" s="16"/>
      <c r="Z262" s="16"/>
      <c r="AA262" s="16"/>
      <c r="AB262" s="16"/>
      <c r="AC262" s="16" t="s">
        <v>378</v>
      </c>
      <c r="AD262" s="19"/>
    </row>
    <row r="263" spans="2:30">
      <c r="B263" s="14">
        <v>45614</v>
      </c>
      <c r="C263" s="105" t="s">
        <v>167</v>
      </c>
      <c r="D263" s="16" t="s">
        <v>388</v>
      </c>
      <c r="E263" s="16"/>
      <c r="F263" s="17"/>
      <c r="G263" s="16" t="s">
        <v>106</v>
      </c>
      <c r="H263" s="16">
        <v>82605</v>
      </c>
      <c r="I263" s="16" t="s">
        <v>35</v>
      </c>
      <c r="J263" s="16"/>
      <c r="K263" s="17">
        <v>120.04</v>
      </c>
      <c r="L263" s="17">
        <f>0.908951*8.3454</f>
        <v>7.585559675399999</v>
      </c>
      <c r="M263" s="18">
        <f t="shared" si="196"/>
        <v>10889.769975429546</v>
      </c>
      <c r="N263" s="17">
        <f t="shared" si="189"/>
        <v>13072.079878505629</v>
      </c>
      <c r="O263" s="17">
        <f t="shared" si="197"/>
        <v>10889.769975429546</v>
      </c>
      <c r="P263" s="16" t="s">
        <v>36</v>
      </c>
      <c r="Q263" s="14" t="s">
        <v>37</v>
      </c>
      <c r="R263" s="23">
        <v>204</v>
      </c>
      <c r="S263" s="119" t="s">
        <v>103</v>
      </c>
      <c r="T263" s="17">
        <f t="shared" si="166"/>
        <v>64.078822933851114</v>
      </c>
      <c r="U263" s="17">
        <f t="shared" si="190"/>
        <v>53.381225369752677</v>
      </c>
      <c r="V263" s="16"/>
      <c r="W263" s="16"/>
      <c r="X263" s="16"/>
      <c r="Y263" s="16"/>
      <c r="Z263" s="16"/>
      <c r="AA263" s="16"/>
      <c r="AB263" s="16"/>
      <c r="AC263" s="16" t="s">
        <v>378</v>
      </c>
      <c r="AD263" s="19"/>
    </row>
    <row r="264" spans="2:30">
      <c r="B264" s="14">
        <v>45615</v>
      </c>
      <c r="C264" s="105" t="s">
        <v>167</v>
      </c>
      <c r="D264" s="16" t="s">
        <v>389</v>
      </c>
      <c r="E264" s="16"/>
      <c r="F264" s="17"/>
      <c r="G264" s="16" t="s">
        <v>106</v>
      </c>
      <c r="H264" s="16">
        <v>85755</v>
      </c>
      <c r="I264" s="16" t="s">
        <v>35</v>
      </c>
      <c r="J264" s="16"/>
      <c r="K264" s="17">
        <v>120.07</v>
      </c>
      <c r="L264" s="17">
        <f>0.908917*8.3454</f>
        <v>7.5852759317999991</v>
      </c>
      <c r="M264" s="18">
        <f t="shared" si="196"/>
        <v>11305.455565628999</v>
      </c>
      <c r="N264" s="17">
        <f t="shared" si="189"/>
        <v>13574.460497650738</v>
      </c>
      <c r="O264" s="17">
        <f t="shared" si="197"/>
        <v>11305.455565628999</v>
      </c>
      <c r="P264" s="16" t="s">
        <v>92</v>
      </c>
      <c r="Q264" s="14" t="s">
        <v>37</v>
      </c>
      <c r="R264" s="23">
        <v>211</v>
      </c>
      <c r="S264" s="119" t="s">
        <v>103</v>
      </c>
      <c r="T264" s="17">
        <f t="shared" si="166"/>
        <v>64.333936007823397</v>
      </c>
      <c r="U264" s="17">
        <f t="shared" si="190"/>
        <v>53.580358130943125</v>
      </c>
      <c r="V264" s="16"/>
      <c r="W264" s="16"/>
      <c r="X264" s="16"/>
      <c r="Y264" s="16"/>
      <c r="Z264" s="16"/>
      <c r="AA264" s="16"/>
      <c r="AB264" s="16"/>
      <c r="AC264" s="16" t="s">
        <v>378</v>
      </c>
      <c r="AD264" s="19"/>
    </row>
    <row r="265" spans="2:30">
      <c r="B265" s="14">
        <v>45615</v>
      </c>
      <c r="C265" s="105" t="s">
        <v>167</v>
      </c>
      <c r="D265" s="16" t="s">
        <v>390</v>
      </c>
      <c r="E265" s="16"/>
      <c r="F265" s="17"/>
      <c r="G265" s="16" t="s">
        <v>106</v>
      </c>
      <c r="H265" s="16">
        <v>82470</v>
      </c>
      <c r="I265" s="16" t="s">
        <v>35</v>
      </c>
      <c r="J265" s="16"/>
      <c r="K265" s="17">
        <v>119.92</v>
      </c>
      <c r="L265" s="17">
        <f>0.909085*8.3454</f>
        <v>7.5866779590000002</v>
      </c>
      <c r="M265" s="18">
        <f t="shared" si="196"/>
        <v>10870.370463289095</v>
      </c>
      <c r="N265" s="17">
        <f t="shared" si="189"/>
        <v>13035.748259576283</v>
      </c>
      <c r="O265" s="17">
        <f t="shared" si="197"/>
        <v>10870.370463289095</v>
      </c>
      <c r="P265" s="16" t="s">
        <v>92</v>
      </c>
      <c r="Q265" s="14" t="s">
        <v>37</v>
      </c>
      <c r="R265" s="23">
        <v>208</v>
      </c>
      <c r="S265" s="119" t="s">
        <v>103</v>
      </c>
      <c r="T265" s="17">
        <f t="shared" si="166"/>
        <v>62.671866632578286</v>
      </c>
      <c r="U265" s="17">
        <f t="shared" si="190"/>
        <v>52.26139645812065</v>
      </c>
      <c r="V265" s="16"/>
      <c r="W265" s="16"/>
      <c r="X265" s="16"/>
      <c r="Y265" s="16"/>
      <c r="Z265" s="16"/>
      <c r="AA265" s="16"/>
      <c r="AB265" s="16"/>
      <c r="AC265" s="16" t="s">
        <v>391</v>
      </c>
      <c r="AD265" s="19"/>
    </row>
    <row r="266" spans="2:30">
      <c r="B266" s="14">
        <v>45616</v>
      </c>
      <c r="C266" s="105" t="s">
        <v>167</v>
      </c>
      <c r="D266" s="16" t="s">
        <v>392</v>
      </c>
      <c r="E266" s="16"/>
      <c r="F266" s="17"/>
      <c r="G266" s="16" t="s">
        <v>106</v>
      </c>
      <c r="H266" s="16">
        <v>84200</v>
      </c>
      <c r="I266" s="16" t="s">
        <v>35</v>
      </c>
      <c r="J266" s="16"/>
      <c r="K266" s="17">
        <v>119.91</v>
      </c>
      <c r="L266" s="17">
        <f>0.909096*8.3454</f>
        <v>7.5867697584</v>
      </c>
      <c r="M266" s="18">
        <f t="shared" si="196"/>
        <v>11098.267468414282</v>
      </c>
      <c r="N266" s="17">
        <f t="shared" si="189"/>
        <v>13307.932521375566</v>
      </c>
      <c r="O266" s="17">
        <f t="shared" si="197"/>
        <v>11098.267468414282</v>
      </c>
      <c r="P266" s="16" t="s">
        <v>92</v>
      </c>
      <c r="Q266" s="14" t="s">
        <v>37</v>
      </c>
      <c r="R266" s="23">
        <v>207</v>
      </c>
      <c r="S266" s="119" t="s">
        <v>103</v>
      </c>
      <c r="T266" s="17">
        <f t="shared" si="166"/>
        <v>64.289529088770848</v>
      </c>
      <c r="U266" s="17">
        <f t="shared" si="190"/>
        <v>53.614818687991701</v>
      </c>
      <c r="V266" s="16"/>
      <c r="W266" s="16"/>
      <c r="X266" s="16"/>
      <c r="Y266" s="16"/>
      <c r="Z266" s="16"/>
      <c r="AA266" s="16"/>
      <c r="AB266" s="16"/>
      <c r="AC266" s="16" t="s">
        <v>378</v>
      </c>
      <c r="AD266" s="19"/>
    </row>
    <row r="267" spans="2:30">
      <c r="B267" s="14">
        <v>45616</v>
      </c>
      <c r="C267" s="105" t="s">
        <v>167</v>
      </c>
      <c r="D267" s="16" t="s">
        <v>393</v>
      </c>
      <c r="E267" s="16"/>
      <c r="F267" s="17"/>
      <c r="G267" s="16" t="s">
        <v>106</v>
      </c>
      <c r="H267" s="16">
        <f>31180-(10*402.5)</f>
        <v>27155</v>
      </c>
      <c r="I267" s="16" t="s">
        <v>35</v>
      </c>
      <c r="J267" s="16"/>
      <c r="K267" s="17">
        <v>119.91</v>
      </c>
      <c r="L267" s="17">
        <f>0.909096*8.3454</f>
        <v>7.5867697584</v>
      </c>
      <c r="M267" s="18">
        <f t="shared" si="196"/>
        <v>3579.2571627647249</v>
      </c>
      <c r="N267" s="17">
        <f t="shared" si="189"/>
        <v>4291.8872638711819</v>
      </c>
      <c r="O267" s="17">
        <f t="shared" si="197"/>
        <v>3579.2571627647249</v>
      </c>
      <c r="P267" s="16" t="s">
        <v>92</v>
      </c>
      <c r="Q267" s="14" t="s">
        <v>37</v>
      </c>
      <c r="R267" s="23">
        <v>67</v>
      </c>
      <c r="S267" s="119" t="s">
        <v>103</v>
      </c>
      <c r="T267" s="17">
        <f t="shared" si="166"/>
        <v>64.058018863748984</v>
      </c>
      <c r="U267" s="17">
        <f t="shared" si="190"/>
        <v>53.421748697980966</v>
      </c>
      <c r="V267" s="16"/>
      <c r="W267" s="16"/>
      <c r="X267" s="16"/>
      <c r="Y267" s="16"/>
      <c r="Z267" s="16"/>
      <c r="AA267" s="16"/>
      <c r="AB267" s="16"/>
      <c r="AC267" s="16" t="s">
        <v>378</v>
      </c>
      <c r="AD267" s="19"/>
    </row>
    <row r="268" spans="2:30">
      <c r="B268" s="14">
        <v>45616</v>
      </c>
      <c r="C268" s="104" t="s">
        <v>167</v>
      </c>
      <c r="D268" s="16" t="s">
        <v>394</v>
      </c>
      <c r="E268" s="16"/>
      <c r="F268" s="17"/>
      <c r="G268" s="16"/>
      <c r="H268" s="16">
        <f>402.5*9</f>
        <v>3622.5</v>
      </c>
      <c r="I268" s="16" t="s">
        <v>35</v>
      </c>
      <c r="J268" s="16"/>
      <c r="K268" s="17">
        <v>119.91</v>
      </c>
      <c r="L268" s="17">
        <f>0.909096*8.3454</f>
        <v>7.5867697584</v>
      </c>
      <c r="M268" s="18">
        <f t="shared" ref="M268" si="198">(H268/L268)</f>
        <v>477.47593710606577</v>
      </c>
      <c r="N268" s="17">
        <f t="shared" ref="N268" si="199">(M268*(K268/100))</f>
        <v>572.54139618388353</v>
      </c>
      <c r="O268" s="17">
        <f t="shared" ref="O268" si="200">H268/L268</f>
        <v>477.47593710606577</v>
      </c>
      <c r="P268" s="16" t="s">
        <v>92</v>
      </c>
      <c r="Q268" s="14" t="s">
        <v>37</v>
      </c>
      <c r="R268" s="23">
        <v>9</v>
      </c>
      <c r="S268" s="119" t="s">
        <v>103</v>
      </c>
      <c r="T268" s="17">
        <f t="shared" ref="T268" si="201">(N268-V268)/R268</f>
        <v>63.615710687098172</v>
      </c>
      <c r="U268" s="17">
        <f t="shared" ref="U268" si="202">(O268-V268)/R268</f>
        <v>53.052881900673974</v>
      </c>
      <c r="V268" s="16"/>
      <c r="W268" s="16"/>
      <c r="X268" s="16"/>
      <c r="Y268" s="16"/>
      <c r="Z268" s="16"/>
      <c r="AA268" s="16"/>
      <c r="AB268" s="16"/>
      <c r="AC268" s="16"/>
      <c r="AD268" s="19"/>
    </row>
    <row r="269" spans="2:30">
      <c r="B269" s="14">
        <v>45615</v>
      </c>
      <c r="C269" s="104" t="s">
        <v>167</v>
      </c>
      <c r="D269" s="102" t="s">
        <v>395</v>
      </c>
      <c r="E269" s="16"/>
      <c r="F269" s="17"/>
      <c r="G269" s="16"/>
      <c r="H269" s="16">
        <v>402.5</v>
      </c>
      <c r="I269" s="16" t="s">
        <v>35</v>
      </c>
      <c r="J269" s="16"/>
      <c r="K269" s="17">
        <v>120.07</v>
      </c>
      <c r="L269" s="17">
        <f>0.908917*8.3454</f>
        <v>7.5852759317999991</v>
      </c>
      <c r="M269" s="18">
        <f t="shared" ref="M269" si="203">(H269/L269)</f>
        <v>53.063330011843888</v>
      </c>
      <c r="N269" s="17">
        <f t="shared" ref="N269" si="204">(M269*(K269/100))</f>
        <v>63.71314034522095</v>
      </c>
      <c r="O269" s="17">
        <f t="shared" ref="O269" si="205">H269/L269</f>
        <v>53.063330011843888</v>
      </c>
      <c r="P269" s="16" t="s">
        <v>36</v>
      </c>
      <c r="Q269" s="14" t="s">
        <v>37</v>
      </c>
      <c r="R269" s="16">
        <v>1</v>
      </c>
      <c r="S269" s="119" t="s">
        <v>103</v>
      </c>
      <c r="T269" s="17">
        <f t="shared" ref="T269" si="206">(N269-V269)/R269</f>
        <v>63.71314034522095</v>
      </c>
      <c r="U269" s="17">
        <f t="shared" ref="U269" si="207">(O269-V269)/R269</f>
        <v>53.063330011843888</v>
      </c>
      <c r="V269" s="16"/>
      <c r="W269" s="16"/>
      <c r="X269" s="16"/>
      <c r="Y269" s="16"/>
      <c r="Z269" s="16"/>
      <c r="AA269" s="16"/>
      <c r="AB269" s="16"/>
      <c r="AC269" s="16" t="s">
        <v>378</v>
      </c>
      <c r="AD269" s="19" t="s">
        <v>396</v>
      </c>
    </row>
    <row r="270" spans="2:30">
      <c r="B270" s="14">
        <v>45617</v>
      </c>
      <c r="C270" s="105" t="s">
        <v>128</v>
      </c>
      <c r="D270" s="16" t="s">
        <v>397</v>
      </c>
      <c r="E270" s="16"/>
      <c r="F270" s="17"/>
      <c r="G270" s="16" t="s">
        <v>106</v>
      </c>
      <c r="H270" s="16">
        <v>82230</v>
      </c>
      <c r="I270" s="16" t="s">
        <v>35</v>
      </c>
      <c r="J270" s="16"/>
      <c r="K270" s="17">
        <v>119.74</v>
      </c>
      <c r="L270" s="17">
        <f>0.909298*8.3454</f>
        <v>7.5884555292</v>
      </c>
      <c r="M270" s="18">
        <f t="shared" si="196"/>
        <v>10836.19712648813</v>
      </c>
      <c r="N270" s="17">
        <f t="shared" si="189"/>
        <v>12975.262439256887</v>
      </c>
      <c r="O270" s="17">
        <f t="shared" si="197"/>
        <v>10836.19712648813</v>
      </c>
      <c r="P270" s="102" t="s">
        <v>398</v>
      </c>
      <c r="Q270" s="14" t="s">
        <v>37</v>
      </c>
      <c r="R270" s="23">
        <v>205</v>
      </c>
      <c r="S270" s="119" t="s">
        <v>103</v>
      </c>
      <c r="T270" s="17">
        <f t="shared" si="166"/>
        <v>63.293963118326275</v>
      </c>
      <c r="U270" s="17">
        <f t="shared" si="190"/>
        <v>52.859498177990879</v>
      </c>
      <c r="V270" s="16"/>
      <c r="W270" s="16"/>
      <c r="X270" s="16"/>
      <c r="Y270" s="16"/>
      <c r="Z270" s="16"/>
      <c r="AA270" s="16"/>
      <c r="AB270" s="16"/>
      <c r="AC270" s="16" t="s">
        <v>378</v>
      </c>
      <c r="AD270" s="24">
        <f>SUM(N270:N273)/((6*3*20500)/56)</f>
        <v>5.0132367798315709</v>
      </c>
    </row>
    <row r="271" spans="2:30">
      <c r="B271" s="14">
        <v>45617</v>
      </c>
      <c r="C271" s="105" t="s">
        <v>128</v>
      </c>
      <c r="D271" s="16" t="s">
        <v>399</v>
      </c>
      <c r="E271" s="16"/>
      <c r="F271" s="17"/>
      <c r="G271" s="16" t="s">
        <v>106</v>
      </c>
      <c r="H271" s="16">
        <v>80660</v>
      </c>
      <c r="I271" s="16" t="s">
        <v>35</v>
      </c>
      <c r="J271" s="16"/>
      <c r="K271" s="17">
        <v>120.1</v>
      </c>
      <c r="L271" s="17">
        <f>0.908885*8.3454</f>
        <v>7.5850088790000001</v>
      </c>
      <c r="M271" s="18">
        <f t="shared" si="196"/>
        <v>10634.13389314768</v>
      </c>
      <c r="N271" s="17">
        <f t="shared" si="189"/>
        <v>12771.594805670362</v>
      </c>
      <c r="O271" s="17">
        <f t="shared" si="197"/>
        <v>10634.13389314768</v>
      </c>
      <c r="P271" s="102" t="s">
        <v>398</v>
      </c>
      <c r="Q271" s="14" t="s">
        <v>37</v>
      </c>
      <c r="R271" s="23">
        <v>204</v>
      </c>
      <c r="S271" s="119" t="s">
        <v>103</v>
      </c>
      <c r="T271" s="17">
        <f t="shared" si="166"/>
        <v>62.605856890540991</v>
      </c>
      <c r="U271" s="17">
        <f t="shared" si="190"/>
        <v>52.128107319351372</v>
      </c>
      <c r="V271" s="16"/>
      <c r="W271" s="16"/>
      <c r="X271" s="16"/>
      <c r="Y271" s="16"/>
      <c r="Z271" s="16"/>
      <c r="AA271" s="16"/>
      <c r="AB271" s="16"/>
      <c r="AC271" s="16" t="s">
        <v>378</v>
      </c>
      <c r="AD271" s="19"/>
    </row>
    <row r="272" spans="2:30">
      <c r="B272" s="14">
        <v>45617</v>
      </c>
      <c r="C272" s="105" t="s">
        <v>128</v>
      </c>
      <c r="D272" s="16" t="s">
        <v>400</v>
      </c>
      <c r="E272" s="16"/>
      <c r="F272" s="17"/>
      <c r="G272" s="16" t="s">
        <v>106</v>
      </c>
      <c r="H272" s="16">
        <v>41515</v>
      </c>
      <c r="I272" s="16" t="s">
        <v>35</v>
      </c>
      <c r="J272" s="16"/>
      <c r="K272" s="17">
        <v>120.3</v>
      </c>
      <c r="L272" s="17">
        <f>0.908668*8.3454</f>
        <v>7.5831979271999996</v>
      </c>
      <c r="M272" s="18">
        <f t="shared" si="196"/>
        <v>5474.6032476734908</v>
      </c>
      <c r="N272" s="17">
        <f t="shared" si="189"/>
        <v>6585.9477069512095</v>
      </c>
      <c r="O272" s="17">
        <f t="shared" si="197"/>
        <v>5474.6032476734908</v>
      </c>
      <c r="P272" s="102" t="s">
        <v>398</v>
      </c>
      <c r="Q272" s="14" t="s">
        <v>37</v>
      </c>
      <c r="R272" s="23">
        <v>91</v>
      </c>
      <c r="S272" s="119" t="s">
        <v>103</v>
      </c>
      <c r="T272" s="17">
        <f t="shared" si="166"/>
        <v>72.373051724738559</v>
      </c>
      <c r="U272" s="17">
        <f t="shared" si="190"/>
        <v>60.160475249159241</v>
      </c>
      <c r="V272" s="16"/>
      <c r="W272" s="16"/>
      <c r="X272" s="16"/>
      <c r="Y272" s="16"/>
      <c r="Z272" s="16"/>
      <c r="AA272" s="16"/>
      <c r="AB272" s="16"/>
      <c r="AC272" s="16" t="s">
        <v>378</v>
      </c>
      <c r="AD272" s="19"/>
    </row>
    <row r="273" spans="1:64">
      <c r="B273" s="108">
        <v>45617</v>
      </c>
      <c r="C273" s="109" t="s">
        <v>140</v>
      </c>
      <c r="D273" s="111" t="s">
        <v>401</v>
      </c>
      <c r="E273" s="111"/>
      <c r="F273" s="112"/>
      <c r="G273" s="111"/>
      <c r="H273" s="111">
        <f>402.5*11</f>
        <v>4427.5</v>
      </c>
      <c r="I273" s="111" t="s">
        <v>35</v>
      </c>
      <c r="J273" s="111"/>
      <c r="K273" s="112">
        <v>120.07</v>
      </c>
      <c r="L273" s="112">
        <f>0.908917*8.3454</f>
        <v>7.5852759317999991</v>
      </c>
      <c r="M273" s="113">
        <f t="shared" ref="M273" si="208">(H273/L273)</f>
        <v>583.69663013028276</v>
      </c>
      <c r="N273" s="112">
        <f t="shared" ref="N273" si="209">(M273*(K273/100))</f>
        <v>700.84454379743045</v>
      </c>
      <c r="O273" s="112">
        <f t="shared" ref="O273" si="210">H273/L273</f>
        <v>583.69663013028276</v>
      </c>
      <c r="P273" s="111" t="s">
        <v>36</v>
      </c>
      <c r="Q273" s="108" t="s">
        <v>37</v>
      </c>
      <c r="R273" s="114">
        <v>11</v>
      </c>
      <c r="S273" s="133" t="s">
        <v>103</v>
      </c>
      <c r="T273" s="112">
        <f t="shared" ref="T273" si="211">(N273-V273)/R273</f>
        <v>63.71314034522095</v>
      </c>
      <c r="U273" s="112">
        <f t="shared" ref="U273" si="212">(O273-V273)/R273</f>
        <v>53.063330011843888</v>
      </c>
      <c r="V273" s="111"/>
      <c r="W273" s="111"/>
      <c r="X273" s="111"/>
      <c r="Y273" s="111"/>
      <c r="Z273" s="111"/>
      <c r="AA273" s="111"/>
      <c r="AB273" s="111"/>
      <c r="AC273" s="111"/>
      <c r="AD273" s="178"/>
    </row>
    <row r="274" spans="1:64">
      <c r="B274" s="14">
        <v>45617</v>
      </c>
      <c r="C274" s="142" t="s">
        <v>402</v>
      </c>
      <c r="D274" s="16" t="s">
        <v>403</v>
      </c>
      <c r="E274" s="16"/>
      <c r="F274" s="17"/>
      <c r="G274" s="16" t="s">
        <v>106</v>
      </c>
      <c r="H274" s="16">
        <v>80630</v>
      </c>
      <c r="I274" s="150" t="s">
        <v>137</v>
      </c>
      <c r="J274" s="16"/>
      <c r="K274" s="17">
        <v>119.74</v>
      </c>
      <c r="L274" s="17">
        <f>0.909298*8.3454</f>
        <v>7.5884555292</v>
      </c>
      <c r="M274" s="18">
        <f t="shared" si="196"/>
        <v>10625.350532758579</v>
      </c>
      <c r="N274" s="17">
        <f t="shared" si="189"/>
        <v>12722.794727925122</v>
      </c>
      <c r="O274" s="17">
        <f t="shared" si="197"/>
        <v>10625.350532758579</v>
      </c>
      <c r="P274" s="16" t="s">
        <v>36</v>
      </c>
      <c r="Q274" s="14" t="s">
        <v>37</v>
      </c>
      <c r="R274" s="23">
        <v>203</v>
      </c>
      <c r="S274" s="119" t="s">
        <v>103</v>
      </c>
      <c r="T274" s="17">
        <f t="shared" si="166"/>
        <v>62.673865654803556</v>
      </c>
      <c r="U274" s="17">
        <f t="shared" si="190"/>
        <v>52.341628240190047</v>
      </c>
      <c r="V274" s="16"/>
      <c r="W274" s="16"/>
      <c r="X274" s="16"/>
      <c r="Y274" s="16"/>
      <c r="Z274" s="16"/>
      <c r="AA274" s="16"/>
      <c r="AB274" s="16"/>
      <c r="AC274" s="16" t="s">
        <v>378</v>
      </c>
      <c r="AD274" s="24">
        <f>SUM(N274:N276)/((6*3*20500)/56)</f>
        <v>4.7829823013011916</v>
      </c>
    </row>
    <row r="275" spans="1:64">
      <c r="B275" s="14">
        <v>45618</v>
      </c>
      <c r="C275" s="142" t="s">
        <v>402</v>
      </c>
      <c r="D275" s="16" t="s">
        <v>404</v>
      </c>
      <c r="E275" s="16"/>
      <c r="F275" s="17"/>
      <c r="G275" s="16" t="s">
        <v>106</v>
      </c>
      <c r="H275" s="16">
        <v>83465</v>
      </c>
      <c r="I275" s="150" t="s">
        <v>137</v>
      </c>
      <c r="J275" s="16"/>
      <c r="K275" s="17">
        <v>120.2</v>
      </c>
      <c r="L275" s="17">
        <f>0.908771*8.3454</f>
        <v>7.5840575033999995</v>
      </c>
      <c r="M275" s="18">
        <f t="shared" si="196"/>
        <v>11005.322673592851</v>
      </c>
      <c r="N275" s="17">
        <f t="shared" si="189"/>
        <v>13228.397853658607</v>
      </c>
      <c r="O275" s="17">
        <f t="shared" si="197"/>
        <v>11005.322673592851</v>
      </c>
      <c r="P275" s="16" t="s">
        <v>36</v>
      </c>
      <c r="Q275" s="14" t="s">
        <v>37</v>
      </c>
      <c r="R275" s="23">
        <v>206</v>
      </c>
      <c r="S275" s="119" t="s">
        <v>103</v>
      </c>
      <c r="T275" s="17">
        <f t="shared" si="166"/>
        <v>64.215523561449544</v>
      </c>
      <c r="U275" s="17">
        <f t="shared" si="190"/>
        <v>53.423896473751704</v>
      </c>
      <c r="V275" s="16"/>
      <c r="W275" s="16"/>
      <c r="X275" s="16"/>
      <c r="Y275" s="16"/>
      <c r="Z275" s="16"/>
      <c r="AA275" s="16"/>
      <c r="AB275" s="16"/>
      <c r="AC275" s="16" t="s">
        <v>378</v>
      </c>
      <c r="AD275" s="19"/>
    </row>
    <row r="276" spans="1:64">
      <c r="B276" s="14">
        <v>45618</v>
      </c>
      <c r="C276" s="142" t="s">
        <v>402</v>
      </c>
      <c r="D276" s="16" t="s">
        <v>405</v>
      </c>
      <c r="E276" s="16"/>
      <c r="F276" s="17"/>
      <c r="G276" s="16" t="s">
        <v>106</v>
      </c>
      <c r="H276" s="16">
        <v>35215</v>
      </c>
      <c r="I276" s="150" t="s">
        <v>137</v>
      </c>
      <c r="J276" s="16"/>
      <c r="K276" s="17">
        <v>119.9</v>
      </c>
      <c r="L276" s="17">
        <f>0.909108*8.3454</f>
        <v>7.5868699032000002</v>
      </c>
      <c r="M276" s="18">
        <f t="shared" si="196"/>
        <v>4641.5716163983479</v>
      </c>
      <c r="N276" s="17">
        <f t="shared" si="189"/>
        <v>5565.2443680616198</v>
      </c>
      <c r="O276" s="17">
        <f t="shared" si="197"/>
        <v>4641.5716163983479</v>
      </c>
      <c r="P276" s="16" t="s">
        <v>36</v>
      </c>
      <c r="Q276" s="14" t="s">
        <v>37</v>
      </c>
      <c r="R276" s="23">
        <v>88</v>
      </c>
      <c r="S276" s="119" t="s">
        <v>103</v>
      </c>
      <c r="T276" s="17">
        <f t="shared" si="166"/>
        <v>63.241413273427497</v>
      </c>
      <c r="U276" s="17">
        <f t="shared" si="190"/>
        <v>52.745132004526681</v>
      </c>
      <c r="V276" s="16"/>
      <c r="W276" s="16"/>
      <c r="X276" s="16"/>
      <c r="Y276" s="16"/>
      <c r="Z276" s="16"/>
      <c r="AA276" s="16"/>
      <c r="AB276" s="16"/>
      <c r="AC276" s="16" t="s">
        <v>378</v>
      </c>
      <c r="AD276" s="19"/>
    </row>
    <row r="277" spans="1:64">
      <c r="B277" s="14">
        <v>45618</v>
      </c>
      <c r="C277" s="105" t="s">
        <v>406</v>
      </c>
      <c r="D277" s="16" t="s">
        <v>407</v>
      </c>
      <c r="E277" s="16"/>
      <c r="F277" s="17"/>
      <c r="G277" s="16" t="s">
        <v>106</v>
      </c>
      <c r="H277" s="16">
        <f>90*402.5</f>
        <v>36225</v>
      </c>
      <c r="I277" s="16" t="s">
        <v>35</v>
      </c>
      <c r="J277" s="16"/>
      <c r="K277" s="17">
        <v>120.1</v>
      </c>
      <c r="L277" s="17">
        <f>0.908892*8.3454</f>
        <v>7.5850672968000001</v>
      </c>
      <c r="M277" s="18">
        <f t="shared" si="196"/>
        <v>4775.831061549402</v>
      </c>
      <c r="N277" s="17">
        <f>(M277*(K277/100))</f>
        <v>5735.7731049208314</v>
      </c>
      <c r="O277" s="17">
        <f t="shared" si="197"/>
        <v>4775.831061549402</v>
      </c>
      <c r="P277" s="16" t="s">
        <v>36</v>
      </c>
      <c r="Q277" s="14" t="s">
        <v>37</v>
      </c>
      <c r="R277" s="23">
        <v>90</v>
      </c>
      <c r="S277" s="119" t="s">
        <v>103</v>
      </c>
      <c r="T277" s="17">
        <f t="shared" si="166"/>
        <v>63.730812276898128</v>
      </c>
      <c r="U277" s="17">
        <f t="shared" si="190"/>
        <v>53.064789572771133</v>
      </c>
      <c r="V277" s="16"/>
      <c r="W277" s="16"/>
      <c r="X277" s="16"/>
      <c r="Y277" s="16"/>
      <c r="Z277" s="16"/>
      <c r="AA277" s="16"/>
      <c r="AB277" s="16"/>
      <c r="AC277" s="16" t="s">
        <v>378</v>
      </c>
      <c r="AD277" s="19" t="s">
        <v>408</v>
      </c>
    </row>
    <row r="278" spans="1:64">
      <c r="B278" s="14">
        <v>45621</v>
      </c>
      <c r="C278" s="105" t="s">
        <v>406</v>
      </c>
      <c r="D278" s="16" t="s">
        <v>409</v>
      </c>
      <c r="E278" s="16"/>
      <c r="F278" s="17"/>
      <c r="G278" s="16" t="s">
        <v>106</v>
      </c>
      <c r="H278" s="16">
        <v>23555</v>
      </c>
      <c r="I278" s="16" t="s">
        <v>35</v>
      </c>
      <c r="J278" s="16"/>
      <c r="K278" s="17">
        <v>120</v>
      </c>
      <c r="L278" s="17">
        <f>0.909002*8.3454</f>
        <v>7.5859852907999992</v>
      </c>
      <c r="M278" s="18">
        <f t="shared" si="196"/>
        <v>3105.0679769398748</v>
      </c>
      <c r="N278" s="17">
        <f>(M278*(K278/100))</f>
        <v>3726.0815723278497</v>
      </c>
      <c r="O278" s="17">
        <f t="shared" si="197"/>
        <v>3105.0679769398748</v>
      </c>
      <c r="P278" s="16" t="s">
        <v>36</v>
      </c>
      <c r="Q278" s="14" t="s">
        <v>37</v>
      </c>
      <c r="R278" s="16">
        <v>58</v>
      </c>
      <c r="S278" s="119" t="s">
        <v>103</v>
      </c>
      <c r="T278" s="17">
        <f t="shared" si="166"/>
        <v>64.242785729790512</v>
      </c>
      <c r="U278" s="17">
        <f t="shared" si="190"/>
        <v>53.535654774825431</v>
      </c>
      <c r="V278" s="16"/>
      <c r="W278" s="16"/>
      <c r="X278" s="16"/>
      <c r="Y278" s="16"/>
      <c r="Z278" s="16"/>
      <c r="AA278" s="16"/>
      <c r="AB278" s="16"/>
      <c r="AC278" s="16" t="s">
        <v>378</v>
      </c>
      <c r="AD278" s="19" t="s">
        <v>408</v>
      </c>
    </row>
    <row r="279" spans="1:64">
      <c r="B279" s="14">
        <v>45621</v>
      </c>
      <c r="C279" s="105" t="s">
        <v>406</v>
      </c>
      <c r="D279" s="16" t="s">
        <v>410</v>
      </c>
      <c r="E279" s="16"/>
      <c r="F279" s="17"/>
      <c r="G279" s="16"/>
      <c r="H279" s="22">
        <f>400.17857*115</f>
        <v>46020.535550000001</v>
      </c>
      <c r="I279" s="16" t="s">
        <v>35</v>
      </c>
      <c r="J279" s="16"/>
      <c r="K279" s="17">
        <v>120.06</v>
      </c>
      <c r="L279" s="17">
        <f>0.909002*8.3454</f>
        <v>7.5859852907999992</v>
      </c>
      <c r="M279" s="18">
        <f t="shared" ref="M279" si="213">(H279/L279)</f>
        <v>6066.5205356793922</v>
      </c>
      <c r="N279" s="17">
        <f t="shared" ref="N279" si="214">(M279*(K279/100))</f>
        <v>7283.4645551366793</v>
      </c>
      <c r="O279" s="17">
        <f t="shared" ref="O279" si="215">H279/L279</f>
        <v>6066.5205356793922</v>
      </c>
      <c r="P279" s="16" t="s">
        <v>36</v>
      </c>
      <c r="Q279" s="14" t="s">
        <v>37</v>
      </c>
      <c r="R279" s="16">
        <v>115</v>
      </c>
      <c r="S279" s="119" t="s">
        <v>103</v>
      </c>
      <c r="T279" s="17">
        <f t="shared" ref="T279" si="216">(N279-V279)/R279</f>
        <v>63.334474392492865</v>
      </c>
      <c r="U279" s="17">
        <f t="shared" ref="U279" si="217">(O279-V279)/R279</f>
        <v>52.752352484168625</v>
      </c>
      <c r="V279" s="16"/>
      <c r="W279" s="16"/>
      <c r="X279" s="16"/>
      <c r="Y279" s="16"/>
      <c r="Z279" s="16"/>
      <c r="AA279" s="16"/>
      <c r="AB279" s="16"/>
      <c r="AC279" s="16"/>
      <c r="AD279" s="19" t="s">
        <v>408</v>
      </c>
    </row>
    <row r="280" spans="1:64" s="175" customFormat="1">
      <c r="A280"/>
      <c r="B280" s="108">
        <v>45618</v>
      </c>
      <c r="C280" s="134" t="s">
        <v>411</v>
      </c>
      <c r="D280" s="111" t="s">
        <v>412</v>
      </c>
      <c r="E280" s="111"/>
      <c r="F280" s="112"/>
      <c r="G280" s="111"/>
      <c r="H280" s="111">
        <f>417.688*4</f>
        <v>1670.752</v>
      </c>
      <c r="I280" s="111" t="s">
        <v>35</v>
      </c>
      <c r="J280" s="111"/>
      <c r="K280" s="112">
        <v>120.1</v>
      </c>
      <c r="L280" s="112">
        <f>0.908892*8.3454</f>
        <v>7.5850672968000001</v>
      </c>
      <c r="M280" s="113">
        <f>54.9*4</f>
        <v>219.6</v>
      </c>
      <c r="N280" s="112">
        <f>(54.9*1.201)*4</f>
        <v>263.7396</v>
      </c>
      <c r="O280" s="112">
        <f>54.9*4</f>
        <v>219.6</v>
      </c>
      <c r="P280" s="21" t="s">
        <v>413</v>
      </c>
      <c r="Q280" s="133" t="s">
        <v>414</v>
      </c>
      <c r="R280" s="111">
        <v>4</v>
      </c>
      <c r="S280" s="133" t="s">
        <v>103</v>
      </c>
      <c r="T280" s="112">
        <f t="shared" ref="T280" si="218">(N280-V280)/R280</f>
        <v>65.934899999999999</v>
      </c>
      <c r="U280" s="112">
        <f t="shared" ref="U280" si="219">(O280-V280)/R280</f>
        <v>54.9</v>
      </c>
      <c r="V280" s="111"/>
      <c r="W280" s="111"/>
      <c r="X280" s="111"/>
      <c r="Y280" s="111"/>
      <c r="Z280" s="111"/>
      <c r="AA280" s="111"/>
      <c r="AB280" s="111"/>
      <c r="AC280" s="111"/>
      <c r="AD280" s="178" t="s">
        <v>415</v>
      </c>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row>
    <row r="281" spans="1:64">
      <c r="B281" s="14">
        <v>45621</v>
      </c>
      <c r="C281" s="105" t="s">
        <v>416</v>
      </c>
      <c r="D281" s="16" t="s">
        <v>417</v>
      </c>
      <c r="E281" s="16"/>
      <c r="F281" s="17"/>
      <c r="G281" s="16"/>
      <c r="H281" s="22">
        <f>400.17857*82</f>
        <v>32814.642739999996</v>
      </c>
      <c r="I281" s="16" t="s">
        <v>35</v>
      </c>
      <c r="J281" s="16"/>
      <c r="K281" s="17">
        <v>120.06</v>
      </c>
      <c r="L281" s="17">
        <f>0.909002*8.3454</f>
        <v>7.5859852907999992</v>
      </c>
      <c r="M281" s="194">
        <f t="shared" ref="M281" si="220">(H281/L281)</f>
        <v>4325.6929037018272</v>
      </c>
      <c r="N281" s="185">
        <f t="shared" ref="N281" si="221">(M281*(K281/100))</f>
        <v>5193.4269001844141</v>
      </c>
      <c r="O281" s="17">
        <f t="shared" ref="O281" si="222">H281/L281</f>
        <v>4325.6929037018272</v>
      </c>
      <c r="P281" s="16" t="s">
        <v>36</v>
      </c>
      <c r="Q281" s="14" t="s">
        <v>37</v>
      </c>
      <c r="R281" s="16">
        <v>82</v>
      </c>
      <c r="S281" s="119" t="s">
        <v>103</v>
      </c>
      <c r="T281" s="17">
        <f t="shared" ref="T281" si="223">(N281-V281)/R281</f>
        <v>63.334474392492858</v>
      </c>
      <c r="U281" s="17">
        <f t="shared" ref="U281" si="224">(O281-V281)/R281</f>
        <v>52.752352484168625</v>
      </c>
      <c r="V281" s="16"/>
      <c r="W281" s="16"/>
      <c r="X281" s="16"/>
      <c r="Y281" s="16"/>
      <c r="Z281" s="16"/>
      <c r="AA281" s="16"/>
      <c r="AB281" s="16"/>
      <c r="AC281" s="16"/>
      <c r="AD281" s="24">
        <f>SUM(N281)/((1*3*20500)/56)</f>
        <v>4.7289740879727997</v>
      </c>
    </row>
    <row r="282" spans="1:64">
      <c r="B282" s="14">
        <v>45621</v>
      </c>
      <c r="C282" s="105" t="s">
        <v>418</v>
      </c>
      <c r="D282" s="16" t="s">
        <v>419</v>
      </c>
      <c r="E282" s="16"/>
      <c r="F282" s="17"/>
      <c r="G282" s="16" t="s">
        <v>106</v>
      </c>
      <c r="H282" s="22">
        <f>402.5*263</f>
        <v>105857.5</v>
      </c>
      <c r="I282" s="16" t="s">
        <v>157</v>
      </c>
      <c r="J282" s="16"/>
      <c r="K282" s="17">
        <v>119.97</v>
      </c>
      <c r="L282" s="17">
        <f>0.909031*8.3454</f>
        <v>7.5862273073999997</v>
      </c>
      <c r="M282" s="18">
        <f t="shared" si="196"/>
        <v>13953.905638543298</v>
      </c>
      <c r="N282" s="17">
        <f t="shared" si="189"/>
        <v>16740.500594560395</v>
      </c>
      <c r="O282" s="17">
        <f t="shared" si="197"/>
        <v>13953.905638543298</v>
      </c>
      <c r="P282" s="16" t="s">
        <v>36</v>
      </c>
      <c r="Q282" s="14" t="s">
        <v>37</v>
      </c>
      <c r="R282" s="16">
        <v>263</v>
      </c>
      <c r="S282" s="119" t="s">
        <v>103</v>
      </c>
      <c r="T282" s="17">
        <f t="shared" si="166"/>
        <v>63.652093515438764</v>
      </c>
      <c r="U282" s="17">
        <f t="shared" si="190"/>
        <v>53.056675431723569</v>
      </c>
      <c r="V282" s="16"/>
      <c r="W282" s="16"/>
      <c r="X282" s="16"/>
      <c r="Y282" s="16"/>
      <c r="Z282" s="16"/>
      <c r="AA282" s="16"/>
      <c r="AB282" s="16"/>
      <c r="AC282" s="16" t="s">
        <v>378</v>
      </c>
      <c r="AD282" s="19" t="s">
        <v>408</v>
      </c>
    </row>
    <row r="283" spans="1:64">
      <c r="B283" s="108">
        <v>45621</v>
      </c>
      <c r="C283" s="109" t="s">
        <v>215</v>
      </c>
      <c r="D283" s="111" t="s">
        <v>420</v>
      </c>
      <c r="E283" s="111"/>
      <c r="F283" s="112"/>
      <c r="G283" s="111"/>
      <c r="H283" s="111">
        <f>402.5*10</f>
        <v>4025</v>
      </c>
      <c r="I283" s="111" t="s">
        <v>157</v>
      </c>
      <c r="J283" s="111"/>
      <c r="K283" s="112">
        <v>119.97</v>
      </c>
      <c r="L283" s="112">
        <f>0.909031*8.3454</f>
        <v>7.5862273073999997</v>
      </c>
      <c r="M283" s="113">
        <f>(H283/L283)</f>
        <v>530.56675431723568</v>
      </c>
      <c r="N283" s="112">
        <f>(M283*(K283/100))</f>
        <v>636.52093515438764</v>
      </c>
      <c r="O283" s="112">
        <f>H283/L283</f>
        <v>530.56675431723568</v>
      </c>
      <c r="P283" s="111" t="s">
        <v>36</v>
      </c>
      <c r="Q283" s="108" t="s">
        <v>37</v>
      </c>
      <c r="R283" s="111">
        <v>10</v>
      </c>
      <c r="S283" s="133" t="s">
        <v>103</v>
      </c>
      <c r="T283" s="112">
        <f>(N283-V283)/R283</f>
        <v>63.652093515438764</v>
      </c>
      <c r="U283" s="112">
        <f>(O283-V283)/R283</f>
        <v>53.056675431723569</v>
      </c>
      <c r="V283" s="111"/>
      <c r="W283" s="111"/>
      <c r="X283" s="111"/>
      <c r="Y283" s="111"/>
      <c r="Z283" s="111"/>
      <c r="AA283" s="111"/>
      <c r="AB283" s="111"/>
      <c r="AC283" s="111"/>
      <c r="AD283" s="178"/>
    </row>
    <row r="284" spans="1:64">
      <c r="B284" s="14">
        <v>45621</v>
      </c>
      <c r="C284" s="105" t="s">
        <v>421</v>
      </c>
      <c r="D284" s="16" t="s">
        <v>422</v>
      </c>
      <c r="E284" s="16"/>
      <c r="F284" s="17"/>
      <c r="G284" s="16" t="s">
        <v>106</v>
      </c>
      <c r="H284" s="16">
        <f>402.5*206</f>
        <v>82915</v>
      </c>
      <c r="I284" s="16" t="s">
        <v>35</v>
      </c>
      <c r="J284" s="16"/>
      <c r="K284" s="17">
        <v>119.92</v>
      </c>
      <c r="L284" s="17">
        <f>0.909074*8.3454</f>
        <v>7.5865861596000004</v>
      </c>
      <c r="M284" s="18">
        <f t="shared" si="196"/>
        <v>10929.158155685094</v>
      </c>
      <c r="N284" s="17">
        <f t="shared" si="189"/>
        <v>13106.246460297565</v>
      </c>
      <c r="O284" s="17">
        <f t="shared" si="197"/>
        <v>10929.158155685094</v>
      </c>
      <c r="P284" s="16" t="s">
        <v>423</v>
      </c>
      <c r="Q284" s="14" t="s">
        <v>37</v>
      </c>
      <c r="R284" s="16">
        <v>206</v>
      </c>
      <c r="S284" s="119" t="s">
        <v>103</v>
      </c>
      <c r="T284" s="17">
        <f t="shared" si="166"/>
        <v>63.622555632512451</v>
      </c>
      <c r="U284" s="17">
        <f t="shared" si="190"/>
        <v>53.054165804296574</v>
      </c>
      <c r="V284" s="16"/>
      <c r="W284" s="16"/>
      <c r="X284" s="16"/>
      <c r="Y284" s="16"/>
      <c r="Z284" s="16"/>
      <c r="AA284" s="16"/>
      <c r="AB284" s="16"/>
      <c r="AC284" s="16" t="s">
        <v>378</v>
      </c>
      <c r="AD284" s="19" t="s">
        <v>424</v>
      </c>
    </row>
    <row r="285" spans="1:64">
      <c r="B285" s="14">
        <v>45622</v>
      </c>
      <c r="C285" s="105" t="s">
        <v>421</v>
      </c>
      <c r="D285" s="16" t="s">
        <v>425</v>
      </c>
      <c r="E285" s="16"/>
      <c r="F285" s="17"/>
      <c r="G285" s="16" t="s">
        <v>106</v>
      </c>
      <c r="H285" s="16">
        <v>83450</v>
      </c>
      <c r="I285" s="16" t="s">
        <v>35</v>
      </c>
      <c r="J285" s="16"/>
      <c r="K285" s="17">
        <v>119.91</v>
      </c>
      <c r="L285" s="17">
        <f>0.909106*8.3454</f>
        <v>7.5868532123999994</v>
      </c>
      <c r="M285" s="18">
        <f t="shared" si="196"/>
        <v>10999.290175221633</v>
      </c>
      <c r="N285" s="17">
        <f t="shared" si="189"/>
        <v>13189.24884910826</v>
      </c>
      <c r="O285" s="17">
        <f t="shared" si="197"/>
        <v>10999.290175221633</v>
      </c>
      <c r="P285" s="16" t="s">
        <v>423</v>
      </c>
      <c r="Q285" s="14" t="s">
        <v>37</v>
      </c>
      <c r="R285" s="16">
        <v>206</v>
      </c>
      <c r="S285" s="119" t="s">
        <v>103</v>
      </c>
      <c r="T285" s="17">
        <f t="shared" ref="T285:T319" si="225">(N285-V285)/R285</f>
        <v>64.025479850040099</v>
      </c>
      <c r="U285" s="17">
        <f t="shared" si="190"/>
        <v>53.394612501075891</v>
      </c>
      <c r="V285" s="16"/>
      <c r="W285" s="16"/>
      <c r="X285" s="16"/>
      <c r="Y285" s="16"/>
      <c r="Z285" s="16"/>
      <c r="AA285" s="16"/>
      <c r="AB285" s="16"/>
      <c r="AC285" s="16" t="s">
        <v>378</v>
      </c>
      <c r="AD285" s="19" t="s">
        <v>424</v>
      </c>
    </row>
    <row r="286" spans="1:64">
      <c r="B286" s="14">
        <v>45622</v>
      </c>
      <c r="C286" s="105" t="s">
        <v>421</v>
      </c>
      <c r="D286" s="16" t="s">
        <v>426</v>
      </c>
      <c r="E286" s="16"/>
      <c r="F286" s="17"/>
      <c r="G286" s="16" t="s">
        <v>106</v>
      </c>
      <c r="H286" s="22">
        <f>402.5*209</f>
        <v>84122.5</v>
      </c>
      <c r="I286" s="16" t="s">
        <v>35</v>
      </c>
      <c r="J286" s="16"/>
      <c r="K286" s="17">
        <v>120.21</v>
      </c>
      <c r="L286" s="17">
        <f>0.90876*8.3454</f>
        <v>7.5839657039999997</v>
      </c>
      <c r="M286" s="18">
        <f t="shared" si="196"/>
        <v>11092.151953644963</v>
      </c>
      <c r="N286" s="17">
        <f t="shared" ref="N286:N313" si="226">(M286*(K286/100))</f>
        <v>13333.875863476609</v>
      </c>
      <c r="O286" s="17">
        <f t="shared" si="197"/>
        <v>11092.151953644963</v>
      </c>
      <c r="P286" s="16" t="s">
        <v>423</v>
      </c>
      <c r="Q286" s="14" t="s">
        <v>37</v>
      </c>
      <c r="R286" s="16">
        <v>209</v>
      </c>
      <c r="S286" s="119" t="s">
        <v>103</v>
      </c>
      <c r="T286" s="17">
        <f t="shared" si="225"/>
        <v>63.798449107543583</v>
      </c>
      <c r="U286" s="17">
        <f t="shared" ref="U286:U319" si="227">(O286-V286)/R286</f>
        <v>53.07249738586107</v>
      </c>
      <c r="V286" s="16"/>
      <c r="W286" s="16"/>
      <c r="X286" s="16"/>
      <c r="Y286" s="16"/>
      <c r="Z286" s="16"/>
      <c r="AA286" s="16"/>
      <c r="AB286" s="16"/>
      <c r="AC286" s="16" t="s">
        <v>378</v>
      </c>
      <c r="AD286" s="19" t="s">
        <v>424</v>
      </c>
    </row>
    <row r="287" spans="1:64">
      <c r="B287" s="14">
        <v>45622</v>
      </c>
      <c r="C287" s="105" t="s">
        <v>421</v>
      </c>
      <c r="D287" s="16" t="s">
        <v>427</v>
      </c>
      <c r="E287" s="16"/>
      <c r="F287" s="17"/>
      <c r="G287" s="16" t="s">
        <v>106</v>
      </c>
      <c r="H287" s="16">
        <f>402.5*267</f>
        <v>107467.5</v>
      </c>
      <c r="I287" s="16" t="s">
        <v>35</v>
      </c>
      <c r="J287" s="16"/>
      <c r="K287" s="17">
        <v>120.04</v>
      </c>
      <c r="L287" s="17">
        <f>0.908951*8.3454</f>
        <v>7.585559675399999</v>
      </c>
      <c r="M287" s="18">
        <f t="shared" si="196"/>
        <v>14167.379151800433</v>
      </c>
      <c r="N287" s="17">
        <f t="shared" si="226"/>
        <v>17006.521933821241</v>
      </c>
      <c r="O287" s="17">
        <f t="shared" si="197"/>
        <v>14167.379151800433</v>
      </c>
      <c r="P287" s="16" t="s">
        <v>423</v>
      </c>
      <c r="Q287" s="14" t="s">
        <v>37</v>
      </c>
      <c r="R287" s="23">
        <v>266</v>
      </c>
      <c r="S287" s="119" t="s">
        <v>103</v>
      </c>
      <c r="T287" s="17">
        <f t="shared" si="225"/>
        <v>63.93429298429038</v>
      </c>
      <c r="U287" s="17">
        <f t="shared" si="227"/>
        <v>53.260823878948997</v>
      </c>
      <c r="V287" s="16"/>
      <c r="W287" s="16"/>
      <c r="X287" s="16"/>
      <c r="Y287" s="16"/>
      <c r="Z287" s="16"/>
      <c r="AA287" s="16"/>
      <c r="AB287" s="16"/>
      <c r="AC287" s="16" t="s">
        <v>378</v>
      </c>
      <c r="AD287" s="19" t="s">
        <v>424</v>
      </c>
    </row>
    <row r="288" spans="1:64">
      <c r="B288" s="14">
        <v>45623</v>
      </c>
      <c r="C288" s="105" t="s">
        <v>421</v>
      </c>
      <c r="D288" s="16" t="s">
        <v>428</v>
      </c>
      <c r="E288" s="16"/>
      <c r="F288" s="17"/>
      <c r="G288" s="16" t="s">
        <v>106</v>
      </c>
      <c r="H288" s="16">
        <f>402.5*208</f>
        <v>83720</v>
      </c>
      <c r="I288" s="16" t="s">
        <v>35</v>
      </c>
      <c r="J288" s="16"/>
      <c r="K288" s="17">
        <v>120.12</v>
      </c>
      <c r="L288" s="17">
        <f>0.908864*8.3454</f>
        <v>7.5848336256</v>
      </c>
      <c r="M288" s="18">
        <f t="shared" si="196"/>
        <v>11037.816270278085</v>
      </c>
      <c r="N288" s="17">
        <f t="shared" si="226"/>
        <v>13258.624903858035</v>
      </c>
      <c r="O288" s="17">
        <f t="shared" si="197"/>
        <v>11037.816270278085</v>
      </c>
      <c r="P288" s="16" t="s">
        <v>423</v>
      </c>
      <c r="Q288" s="14" t="s">
        <v>37</v>
      </c>
      <c r="R288" s="16">
        <v>209</v>
      </c>
      <c r="S288" s="119" t="s">
        <v>103</v>
      </c>
      <c r="T288" s="17">
        <f t="shared" si="225"/>
        <v>63.438396669177202</v>
      </c>
      <c r="U288" s="17">
        <f t="shared" si="227"/>
        <v>52.812518039608058</v>
      </c>
      <c r="V288" s="16"/>
      <c r="W288" s="16"/>
      <c r="X288" s="16"/>
      <c r="Y288" s="16"/>
      <c r="Z288" s="16"/>
      <c r="AA288" s="16"/>
      <c r="AB288" s="16"/>
      <c r="AC288" s="16" t="s">
        <v>378</v>
      </c>
      <c r="AD288" s="19" t="s">
        <v>424</v>
      </c>
    </row>
    <row r="289" spans="2:30">
      <c r="B289" s="14">
        <v>45623</v>
      </c>
      <c r="C289" s="105" t="s">
        <v>421</v>
      </c>
      <c r="D289" s="16" t="s">
        <v>429</v>
      </c>
      <c r="E289" s="16"/>
      <c r="F289" s="17"/>
      <c r="G289" s="16" t="s">
        <v>106</v>
      </c>
      <c r="H289" s="16">
        <v>63350</v>
      </c>
      <c r="I289" s="16" t="s">
        <v>35</v>
      </c>
      <c r="J289" s="16"/>
      <c r="K289" s="17">
        <v>120.05</v>
      </c>
      <c r="L289" s="17">
        <f>0.90895*8.3454</f>
        <v>7.5855513300000004</v>
      </c>
      <c r="M289" s="18">
        <f t="shared" si="196"/>
        <v>8351.4035096510252</v>
      </c>
      <c r="N289" s="17">
        <f t="shared" si="226"/>
        <v>10025.859913336055</v>
      </c>
      <c r="O289" s="17">
        <f t="shared" si="197"/>
        <v>8351.4035096510252</v>
      </c>
      <c r="P289" s="16" t="s">
        <v>423</v>
      </c>
      <c r="Q289" s="14" t="s">
        <v>37</v>
      </c>
      <c r="R289" s="16">
        <v>157</v>
      </c>
      <c r="S289" s="119" t="s">
        <v>103</v>
      </c>
      <c r="T289" s="17">
        <f t="shared" si="225"/>
        <v>63.858980339720098</v>
      </c>
      <c r="U289" s="17">
        <f t="shared" si="227"/>
        <v>53.193652927713536</v>
      </c>
      <c r="V289" s="16"/>
      <c r="W289" s="16"/>
      <c r="X289" s="16"/>
      <c r="Y289" s="16"/>
      <c r="Z289" s="16"/>
      <c r="AA289" s="16"/>
      <c r="AB289" s="16"/>
      <c r="AC289" s="16" t="s">
        <v>378</v>
      </c>
      <c r="AD289" s="19" t="s">
        <v>424</v>
      </c>
    </row>
    <row r="290" spans="2:30">
      <c r="B290" s="14">
        <v>45624</v>
      </c>
      <c r="C290" s="105" t="s">
        <v>421</v>
      </c>
      <c r="D290" s="16" t="s">
        <v>430</v>
      </c>
      <c r="E290" s="16"/>
      <c r="F290" s="17"/>
      <c r="G290" s="16" t="s">
        <v>106</v>
      </c>
      <c r="H290" s="16">
        <v>83900</v>
      </c>
      <c r="I290" s="16" t="s">
        <v>35</v>
      </c>
      <c r="J290" s="16"/>
      <c r="K290" s="17">
        <v>120.07</v>
      </c>
      <c r="L290" s="17">
        <f>0.908918*8.3454</f>
        <v>7.5852842771999995</v>
      </c>
      <c r="M290" s="18">
        <f t="shared" si="196"/>
        <v>11060.890658005832</v>
      </c>
      <c r="N290" s="17">
        <f t="shared" si="226"/>
        <v>13280.8114130676</v>
      </c>
      <c r="O290" s="17">
        <f t="shared" si="197"/>
        <v>11060.890658005832</v>
      </c>
      <c r="P290" s="16" t="s">
        <v>423</v>
      </c>
      <c r="Q290" s="14" t="s">
        <v>37</v>
      </c>
      <c r="R290" s="16">
        <v>207</v>
      </c>
      <c r="S290" s="119" t="s">
        <v>103</v>
      </c>
      <c r="T290" s="17">
        <f t="shared" si="225"/>
        <v>64.158509241872466</v>
      </c>
      <c r="U290" s="17">
        <f t="shared" si="227"/>
        <v>53.434254386501607</v>
      </c>
      <c r="V290" s="16"/>
      <c r="W290" s="16"/>
      <c r="X290" s="16"/>
      <c r="Y290" s="16"/>
      <c r="Z290" s="16"/>
      <c r="AA290" s="16"/>
      <c r="AB290" s="16"/>
      <c r="AC290" s="16" t="s">
        <v>378</v>
      </c>
      <c r="AD290" s="19" t="s">
        <v>424</v>
      </c>
    </row>
    <row r="291" spans="2:30">
      <c r="B291" s="14">
        <v>45624</v>
      </c>
      <c r="C291" s="105" t="s">
        <v>421</v>
      </c>
      <c r="D291" s="16" t="s">
        <v>431</v>
      </c>
      <c r="E291" s="16"/>
      <c r="F291" s="17"/>
      <c r="G291" s="16" t="s">
        <v>106</v>
      </c>
      <c r="H291" s="16">
        <f>402.5*114</f>
        <v>45885</v>
      </c>
      <c r="I291" s="16" t="s">
        <v>35</v>
      </c>
      <c r="J291" s="16"/>
      <c r="K291" s="17">
        <v>120.22</v>
      </c>
      <c r="L291" s="17">
        <f>0.908759*8.3454</f>
        <v>7.5839573585999993</v>
      </c>
      <c r="M291" s="18">
        <f t="shared" si="196"/>
        <v>6050.2713597100692</v>
      </c>
      <c r="N291" s="17">
        <f t="shared" si="226"/>
        <v>7273.6362286434451</v>
      </c>
      <c r="O291" s="17">
        <f t="shared" si="197"/>
        <v>6050.2713597100692</v>
      </c>
      <c r="P291" s="16" t="s">
        <v>423</v>
      </c>
      <c r="Q291" s="14" t="s">
        <v>37</v>
      </c>
      <c r="R291" s="16">
        <f>10+92+12</f>
        <v>114</v>
      </c>
      <c r="S291" s="119" t="s">
        <v>103</v>
      </c>
      <c r="T291" s="17">
        <f t="shared" si="225"/>
        <v>63.803826567047764</v>
      </c>
      <c r="U291" s="17">
        <f t="shared" si="227"/>
        <v>53.07255578693043</v>
      </c>
      <c r="V291" s="16"/>
      <c r="W291" s="16"/>
      <c r="X291" s="16"/>
      <c r="Y291" s="16"/>
      <c r="Z291" s="16"/>
      <c r="AA291" s="16"/>
      <c r="AB291" s="16"/>
      <c r="AC291" s="16" t="s">
        <v>378</v>
      </c>
      <c r="AD291" s="19" t="s">
        <v>424</v>
      </c>
    </row>
    <row r="292" spans="2:30">
      <c r="B292" s="14">
        <v>45628</v>
      </c>
      <c r="C292" s="105" t="s">
        <v>421</v>
      </c>
      <c r="D292" s="16" t="s">
        <v>432</v>
      </c>
      <c r="E292" s="16"/>
      <c r="F292" s="17"/>
      <c r="G292" s="16"/>
      <c r="H292" s="16">
        <f>402.5*208</f>
        <v>83720</v>
      </c>
      <c r="I292" s="16" t="s">
        <v>35</v>
      </c>
      <c r="J292" s="16"/>
      <c r="K292" s="17">
        <v>120.02</v>
      </c>
      <c r="L292" s="17">
        <f>0.90898*8.3454</f>
        <v>7.5858016919999995</v>
      </c>
      <c r="M292" s="18">
        <f t="shared" ref="M292:M296" si="228">(H292/L292)</f>
        <v>11036.407673073139</v>
      </c>
      <c r="N292" s="17">
        <f t="shared" ref="N292:N296" si="229">(M292*(K292/100))</f>
        <v>13245.896489222381</v>
      </c>
      <c r="O292" s="17">
        <f t="shared" ref="O292:O296" si="230">H292/L292</f>
        <v>11036.407673073139</v>
      </c>
      <c r="P292" s="16" t="s">
        <v>423</v>
      </c>
      <c r="Q292" s="14" t="s">
        <v>37</v>
      </c>
      <c r="R292" s="16">
        <v>208</v>
      </c>
      <c r="S292" s="119" t="s">
        <v>103</v>
      </c>
      <c r="T292" s="17">
        <f t="shared" ref="T292:T296" si="231">(N292-V292)/R292</f>
        <v>63.682194659722988</v>
      </c>
      <c r="U292" s="17">
        <f t="shared" ref="U292:U296" si="232">(O292-V292)/R292</f>
        <v>53.059652274390096</v>
      </c>
      <c r="V292" s="16"/>
      <c r="W292" s="16"/>
      <c r="X292" s="16"/>
      <c r="Y292" s="16"/>
      <c r="Z292" s="16"/>
      <c r="AA292" s="16"/>
      <c r="AB292" s="16"/>
      <c r="AC292" s="16" t="s">
        <v>378</v>
      </c>
      <c r="AD292" s="19" t="s">
        <v>424</v>
      </c>
    </row>
    <row r="293" spans="2:30">
      <c r="B293" s="14">
        <v>45628</v>
      </c>
      <c r="C293" s="105" t="s">
        <v>421</v>
      </c>
      <c r="D293" s="16" t="s">
        <v>433</v>
      </c>
      <c r="E293" s="16"/>
      <c r="F293" s="17"/>
      <c r="G293" s="16"/>
      <c r="H293" s="16">
        <f>402.5*209</f>
        <v>84122.5</v>
      </c>
      <c r="I293" s="16" t="s">
        <v>35</v>
      </c>
      <c r="J293" s="16"/>
      <c r="K293" s="17">
        <v>120</v>
      </c>
      <c r="L293" s="17">
        <f>0.909003*8.3454</f>
        <v>7.5859936361999996</v>
      </c>
      <c r="M293" s="18">
        <f t="shared" si="228"/>
        <v>11089.186734691082</v>
      </c>
      <c r="N293" s="17">
        <f t="shared" si="229"/>
        <v>13307.024081629299</v>
      </c>
      <c r="O293" s="17">
        <f t="shared" si="230"/>
        <v>11089.186734691082</v>
      </c>
      <c r="P293" s="16" t="s">
        <v>423</v>
      </c>
      <c r="Q293" s="14" t="s">
        <v>37</v>
      </c>
      <c r="R293" s="16">
        <v>209</v>
      </c>
      <c r="S293" s="119" t="s">
        <v>103</v>
      </c>
      <c r="T293" s="17">
        <f t="shared" si="231"/>
        <v>63.669971682436838</v>
      </c>
      <c r="U293" s="17">
        <f t="shared" si="232"/>
        <v>53.058309735364027</v>
      </c>
      <c r="V293" s="16"/>
      <c r="W293" s="16"/>
      <c r="X293" s="16"/>
      <c r="Y293" s="16"/>
      <c r="Z293" s="16"/>
      <c r="AA293" s="16"/>
      <c r="AB293" s="16"/>
      <c r="AC293" s="16" t="s">
        <v>378</v>
      </c>
      <c r="AD293" s="19" t="s">
        <v>424</v>
      </c>
    </row>
    <row r="294" spans="2:30">
      <c r="B294" s="14">
        <v>45628</v>
      </c>
      <c r="C294" s="105" t="s">
        <v>421</v>
      </c>
      <c r="D294" s="16" t="s">
        <v>434</v>
      </c>
      <c r="E294" s="16"/>
      <c r="F294" s="17"/>
      <c r="G294" s="16"/>
      <c r="H294" s="16">
        <f>402.5*210</f>
        <v>84525</v>
      </c>
      <c r="I294" s="16" t="s">
        <v>35</v>
      </c>
      <c r="J294" s="16"/>
      <c r="K294" s="17">
        <v>119.76</v>
      </c>
      <c r="L294" s="17">
        <f>0.90927*8.3454</f>
        <v>7.5882218579999998</v>
      </c>
      <c r="M294" s="18">
        <f t="shared" si="228"/>
        <v>11138.973211607963</v>
      </c>
      <c r="N294" s="17">
        <f t="shared" si="229"/>
        <v>13340.034318221697</v>
      </c>
      <c r="O294" s="17">
        <f t="shared" si="230"/>
        <v>11138.973211607963</v>
      </c>
      <c r="P294" s="16" t="s">
        <v>423</v>
      </c>
      <c r="Q294" s="14" t="s">
        <v>37</v>
      </c>
      <c r="R294" s="16">
        <v>210</v>
      </c>
      <c r="S294" s="119" t="s">
        <v>103</v>
      </c>
      <c r="T294" s="17">
        <f t="shared" si="231"/>
        <v>63.523972943912838</v>
      </c>
      <c r="U294" s="17">
        <f t="shared" si="232"/>
        <v>53.042729579085538</v>
      </c>
      <c r="V294" s="16"/>
      <c r="W294" s="16"/>
      <c r="X294" s="16"/>
      <c r="Y294" s="16"/>
      <c r="Z294" s="16"/>
      <c r="AA294" s="16"/>
      <c r="AB294" s="16"/>
      <c r="AC294" s="16" t="s">
        <v>378</v>
      </c>
      <c r="AD294" s="19" t="s">
        <v>424</v>
      </c>
    </row>
    <row r="295" spans="2:30">
      <c r="B295" s="14">
        <v>45628</v>
      </c>
      <c r="C295" s="105" t="s">
        <v>421</v>
      </c>
      <c r="D295" s="16" t="s">
        <v>435</v>
      </c>
      <c r="E295" s="16"/>
      <c r="F295" s="17"/>
      <c r="G295" s="16"/>
      <c r="H295" s="16">
        <f>402.5*207</f>
        <v>83317.5</v>
      </c>
      <c r="I295" s="16" t="s">
        <v>35</v>
      </c>
      <c r="J295" s="16"/>
      <c r="K295" s="17">
        <v>120.29</v>
      </c>
      <c r="L295" s="17">
        <f>0.908677*8.3454</f>
        <v>7.5832730357999996</v>
      </c>
      <c r="M295" s="18">
        <f t="shared" si="228"/>
        <v>10987.010438192721</v>
      </c>
      <c r="N295" s="17">
        <f t="shared" si="229"/>
        <v>13216.274856102025</v>
      </c>
      <c r="O295" s="17">
        <f t="shared" si="230"/>
        <v>10987.010438192721</v>
      </c>
      <c r="P295" s="16" t="s">
        <v>423</v>
      </c>
      <c r="Q295" s="14" t="s">
        <v>37</v>
      </c>
      <c r="R295" s="16">
        <v>207</v>
      </c>
      <c r="S295" s="119" t="s">
        <v>103</v>
      </c>
      <c r="T295" s="17">
        <f t="shared" si="231"/>
        <v>63.846738435275483</v>
      </c>
      <c r="U295" s="17">
        <f t="shared" si="232"/>
        <v>53.077345112042131</v>
      </c>
      <c r="V295" s="16"/>
      <c r="W295" s="16"/>
      <c r="X295" s="16"/>
      <c r="Y295" s="16"/>
      <c r="Z295" s="16"/>
      <c r="AA295" s="16"/>
      <c r="AB295" s="16"/>
      <c r="AC295" s="16" t="s">
        <v>378</v>
      </c>
      <c r="AD295" s="19" t="s">
        <v>424</v>
      </c>
    </row>
    <row r="296" spans="2:30">
      <c r="B296" s="14">
        <v>45629</v>
      </c>
      <c r="C296" s="105" t="s">
        <v>421</v>
      </c>
      <c r="D296" s="16" t="s">
        <v>436</v>
      </c>
      <c r="E296" s="16"/>
      <c r="F296" s="17"/>
      <c r="G296" s="16"/>
      <c r="H296" s="16">
        <f>403.5*112</f>
        <v>45192</v>
      </c>
      <c r="I296" s="16" t="s">
        <v>35</v>
      </c>
      <c r="J296" s="16"/>
      <c r="K296" s="17">
        <v>120.19</v>
      </c>
      <c r="L296" s="17">
        <f>0.90879*8.3454</f>
        <v>7.5842160659999998</v>
      </c>
      <c r="M296" s="18">
        <f t="shared" si="228"/>
        <v>5958.6909980842311</v>
      </c>
      <c r="N296" s="17">
        <f t="shared" si="229"/>
        <v>7161.7507105974373</v>
      </c>
      <c r="O296" s="17">
        <f t="shared" si="230"/>
        <v>5958.6909980842311</v>
      </c>
      <c r="P296" s="16" t="s">
        <v>423</v>
      </c>
      <c r="Q296" s="14" t="s">
        <v>37</v>
      </c>
      <c r="R296" s="23">
        <f>74+38</f>
        <v>112</v>
      </c>
      <c r="S296" s="119" t="s">
        <v>103</v>
      </c>
      <c r="T296" s="17">
        <f t="shared" si="231"/>
        <v>63.944202773191407</v>
      </c>
      <c r="U296" s="17">
        <f t="shared" si="232"/>
        <v>53.202598197180635</v>
      </c>
      <c r="V296" s="16"/>
      <c r="W296" s="16"/>
      <c r="X296" s="16"/>
      <c r="Y296" s="16"/>
      <c r="Z296" s="16"/>
      <c r="AA296" s="16"/>
      <c r="AB296" s="16"/>
      <c r="AC296" s="16" t="s">
        <v>378</v>
      </c>
      <c r="AD296" s="19" t="s">
        <v>424</v>
      </c>
    </row>
    <row r="297" spans="2:30">
      <c r="B297" s="14">
        <v>45629</v>
      </c>
      <c r="C297" s="105" t="s">
        <v>416</v>
      </c>
      <c r="D297" s="16" t="s">
        <v>437</v>
      </c>
      <c r="E297" s="16"/>
      <c r="F297" s="17"/>
      <c r="G297" s="16"/>
      <c r="H297" s="16">
        <v>83380</v>
      </c>
      <c r="I297" s="16" t="s">
        <v>35</v>
      </c>
      <c r="J297" s="16"/>
      <c r="K297" s="17">
        <v>119.98</v>
      </c>
      <c r="L297" s="17">
        <f>0.909026*8.3454</f>
        <v>7.5861855803999996</v>
      </c>
      <c r="M297" s="18">
        <f t="shared" ref="M297:M298" si="233">(H297/L297)</f>
        <v>10991.030883218071</v>
      </c>
      <c r="N297" s="17">
        <f t="shared" ref="N297:N298" si="234">(M297*(K297/100))</f>
        <v>13187.038853685041</v>
      </c>
      <c r="O297" s="17">
        <f t="shared" ref="O297:O298" si="235">H297/L297</f>
        <v>10991.030883218071</v>
      </c>
      <c r="P297" s="16" t="s">
        <v>36</v>
      </c>
      <c r="Q297" s="14" t="s">
        <v>37</v>
      </c>
      <c r="R297" s="23">
        <v>209</v>
      </c>
      <c r="S297" s="119" t="s">
        <v>103</v>
      </c>
      <c r="T297" s="17">
        <f t="shared" ref="T297:T298" si="236">(N297-V297)/R297</f>
        <v>63.09587968270354</v>
      </c>
      <c r="U297" s="17">
        <f t="shared" ref="U297:U298" si="237">(O297-V297)/R297</f>
        <v>52.588664513005121</v>
      </c>
      <c r="V297" s="16"/>
      <c r="W297" s="16"/>
      <c r="X297" s="16"/>
      <c r="Y297" s="16"/>
      <c r="Z297" s="16"/>
      <c r="AA297" s="16"/>
      <c r="AB297" s="16"/>
      <c r="AC297" s="16"/>
      <c r="AD297" s="24">
        <f>(SUM(N297:N298))/((5*3*20500)/56)</f>
        <v>5.038248730432703</v>
      </c>
    </row>
    <row r="298" spans="2:30">
      <c r="B298" s="14">
        <v>45629</v>
      </c>
      <c r="C298" s="105" t="s">
        <v>416</v>
      </c>
      <c r="D298" s="16" t="s">
        <v>438</v>
      </c>
      <c r="E298" s="16"/>
      <c r="F298" s="17"/>
      <c r="G298" s="16"/>
      <c r="H298" s="16">
        <v>91370</v>
      </c>
      <c r="I298" s="16" t="s">
        <v>35</v>
      </c>
      <c r="J298" s="16"/>
      <c r="K298" s="17">
        <v>120.18</v>
      </c>
      <c r="L298" s="17">
        <f>0.908803*8.3454</f>
        <v>7.5843245562000003</v>
      </c>
      <c r="M298" s="18">
        <f t="shared" si="233"/>
        <v>12047.216508595648</v>
      </c>
      <c r="N298" s="17">
        <f t="shared" si="234"/>
        <v>14478.344800030249</v>
      </c>
      <c r="O298" s="17">
        <f t="shared" si="235"/>
        <v>12047.216508595648</v>
      </c>
      <c r="P298" s="16" t="s">
        <v>36</v>
      </c>
      <c r="Q298" s="14" t="s">
        <v>37</v>
      </c>
      <c r="R298" s="23">
        <v>227</v>
      </c>
      <c r="S298" s="119" t="s">
        <v>103</v>
      </c>
      <c r="T298" s="17">
        <f t="shared" si="236"/>
        <v>63.781254625683914</v>
      </c>
      <c r="U298" s="17">
        <f t="shared" si="237"/>
        <v>53.071438363857482</v>
      </c>
      <c r="V298" s="16"/>
      <c r="W298" s="16"/>
      <c r="X298" s="16"/>
      <c r="Y298" s="16"/>
      <c r="Z298" s="16"/>
      <c r="AA298" s="16"/>
      <c r="AB298" s="16"/>
      <c r="AC298" s="16"/>
      <c r="AD298" s="19"/>
    </row>
    <row r="299" spans="2:30">
      <c r="B299" s="14">
        <v>45649</v>
      </c>
      <c r="C299" s="105" t="s">
        <v>439</v>
      </c>
      <c r="D299" s="16" t="s">
        <v>440</v>
      </c>
      <c r="E299" s="16"/>
      <c r="F299" s="17"/>
      <c r="G299" s="16"/>
      <c r="H299" s="16">
        <f>402.5*95</f>
        <v>38237.5</v>
      </c>
      <c r="I299" s="16" t="s">
        <v>35</v>
      </c>
      <c r="J299" s="16"/>
      <c r="K299" s="17">
        <v>120.17</v>
      </c>
      <c r="L299" s="17">
        <f>0.908814*8.3454</f>
        <v>7.5844163556000002</v>
      </c>
      <c r="M299" s="18">
        <f t="shared" ref="M299:M300" si="238">(H299/L299)</f>
        <v>5041.587672302182</v>
      </c>
      <c r="N299" s="18">
        <f t="shared" ref="N299" si="239">(M299*(K299/100))</f>
        <v>6058.4759058055324</v>
      </c>
      <c r="O299" s="17">
        <f t="shared" ref="O299:O300" si="240">H299/L299</f>
        <v>5041.587672302182</v>
      </c>
      <c r="P299" s="16" t="s">
        <v>92</v>
      </c>
      <c r="Q299" s="14" t="s">
        <v>37</v>
      </c>
      <c r="R299" s="23">
        <v>95</v>
      </c>
      <c r="S299" s="119" t="s">
        <v>103</v>
      </c>
      <c r="T299" s="17">
        <f t="shared" ref="T299:T300" si="241">(N299-V299)/R299</f>
        <v>63.77343058742666</v>
      </c>
      <c r="U299" s="17">
        <f t="shared" ref="U299:U300" si="242">(O299-V299)/R299</f>
        <v>53.06934391897034</v>
      </c>
      <c r="V299" s="16"/>
      <c r="W299" s="16"/>
      <c r="X299" s="16"/>
      <c r="Y299" s="16"/>
      <c r="Z299" s="16"/>
      <c r="AA299" s="16"/>
      <c r="AB299" s="16"/>
      <c r="AC299" s="16"/>
      <c r="AD299" s="19"/>
    </row>
    <row r="300" spans="2:30">
      <c r="B300" s="108">
        <v>45649</v>
      </c>
      <c r="C300" s="110" t="s">
        <v>138</v>
      </c>
      <c r="D300" s="111" t="s">
        <v>441</v>
      </c>
      <c r="E300" s="111"/>
      <c r="F300" s="112"/>
      <c r="G300" s="111"/>
      <c r="H300" s="111">
        <f>402.5*77</f>
        <v>30992.5</v>
      </c>
      <c r="I300" s="111" t="s">
        <v>35</v>
      </c>
      <c r="J300" s="111"/>
      <c r="K300" s="112">
        <v>120.17</v>
      </c>
      <c r="L300" s="112">
        <f>0.908814*8.3454</f>
        <v>7.5844163556000002</v>
      </c>
      <c r="M300" s="113">
        <f t="shared" si="238"/>
        <v>4086.3394817607154</v>
      </c>
      <c r="N300" s="247">
        <f>(M300*(K300/100))</f>
        <v>4910.5541552318518</v>
      </c>
      <c r="O300" s="112">
        <f t="shared" si="240"/>
        <v>4086.3394817607154</v>
      </c>
      <c r="P300" s="111" t="s">
        <v>92</v>
      </c>
      <c r="Q300" s="108" t="s">
        <v>37</v>
      </c>
      <c r="R300" s="111">
        <v>77</v>
      </c>
      <c r="S300" s="21" t="s">
        <v>103</v>
      </c>
      <c r="T300" s="112">
        <f t="shared" si="241"/>
        <v>63.773430587426645</v>
      </c>
      <c r="U300" s="112">
        <f t="shared" si="242"/>
        <v>53.069343918970333</v>
      </c>
      <c r="V300" s="111"/>
      <c r="W300" s="111"/>
      <c r="X300" s="111"/>
      <c r="Y300" s="111"/>
      <c r="Z300" s="111"/>
      <c r="AA300" s="111"/>
      <c r="AB300" s="111"/>
      <c r="AC300" s="111"/>
      <c r="AD300" s="178"/>
    </row>
    <row r="301" spans="2:30">
      <c r="B301" s="14">
        <v>45652</v>
      </c>
      <c r="C301" s="20" t="s">
        <v>442</v>
      </c>
      <c r="D301" s="16" t="s">
        <v>443</v>
      </c>
      <c r="E301" s="16"/>
      <c r="F301" s="17"/>
      <c r="G301" s="16" t="s">
        <v>106</v>
      </c>
      <c r="H301" s="16">
        <f>407.5*214</f>
        <v>87205</v>
      </c>
      <c r="I301" s="16" t="s">
        <v>35</v>
      </c>
      <c r="J301" s="16"/>
      <c r="K301" s="17">
        <v>110.26</v>
      </c>
      <c r="L301" s="17">
        <f>0.919574*8.3454</f>
        <v>7.6742128595999999</v>
      </c>
      <c r="M301" s="18">
        <f>(H301/L301)</f>
        <v>11363.380400754919</v>
      </c>
      <c r="N301" s="17">
        <f>(M301*(K301/100))</f>
        <v>12529.263229872373</v>
      </c>
      <c r="O301" s="17">
        <f t="shared" ref="O301:O309" si="243">H301/L301</f>
        <v>11363.380400754919</v>
      </c>
      <c r="P301" s="102" t="s">
        <v>444</v>
      </c>
      <c r="Q301" s="14" t="s">
        <v>37</v>
      </c>
      <c r="R301" s="53">
        <v>214</v>
      </c>
      <c r="S301" s="119" t="s">
        <v>103</v>
      </c>
      <c r="T301" s="17">
        <f t="shared" ref="T301:T309" si="244">(N301-V301)/R301</f>
        <v>58.547959018095199</v>
      </c>
      <c r="U301" s="17">
        <f t="shared" ref="U301:U309" si="245">(O301-V301)/R301</f>
        <v>53.099908414742615</v>
      </c>
      <c r="V301" s="16"/>
      <c r="W301" s="16"/>
      <c r="X301" s="16"/>
      <c r="Y301" s="16"/>
      <c r="Z301" s="16"/>
      <c r="AA301" s="16"/>
      <c r="AB301" s="16"/>
      <c r="AC301" s="16" t="s">
        <v>378</v>
      </c>
      <c r="AD301" s="19"/>
    </row>
    <row r="302" spans="2:30">
      <c r="B302" s="14">
        <v>45652</v>
      </c>
      <c r="C302" s="20" t="s">
        <v>442</v>
      </c>
      <c r="D302" s="16" t="s">
        <v>445</v>
      </c>
      <c r="E302" s="16"/>
      <c r="F302" s="17"/>
      <c r="G302" s="16"/>
      <c r="H302" s="16">
        <f>407.5*11</f>
        <v>4482.5</v>
      </c>
      <c r="I302" s="16" t="s">
        <v>35</v>
      </c>
      <c r="J302" s="16"/>
      <c r="K302" s="17">
        <v>110.1</v>
      </c>
      <c r="L302" s="17">
        <f>0.919743*8.3454</f>
        <v>7.6756232321999995</v>
      </c>
      <c r="M302" s="18">
        <f>(H302/L302)</f>
        <v>583.99166613539194</v>
      </c>
      <c r="N302" s="17">
        <f>(M302*(K302/100))</f>
        <v>642.97482441506656</v>
      </c>
      <c r="O302" s="17">
        <f t="shared" si="243"/>
        <v>583.99166613539194</v>
      </c>
      <c r="P302" s="102" t="s">
        <v>444</v>
      </c>
      <c r="Q302" s="14" t="s">
        <v>37</v>
      </c>
      <c r="R302" s="53">
        <v>11</v>
      </c>
      <c r="S302" s="119" t="s">
        <v>103</v>
      </c>
      <c r="T302" s="17">
        <f t="shared" si="244"/>
        <v>58.452256765006048</v>
      </c>
      <c r="U302" s="17">
        <f t="shared" si="245"/>
        <v>53.090151466853811</v>
      </c>
      <c r="V302" s="16"/>
      <c r="W302" s="16"/>
      <c r="X302" s="16"/>
      <c r="Y302" s="16"/>
      <c r="Z302" s="16"/>
      <c r="AA302" s="16"/>
      <c r="AB302" s="16"/>
      <c r="AC302" s="16"/>
      <c r="AD302" s="19"/>
    </row>
    <row r="303" spans="2:30">
      <c r="B303" s="14">
        <v>45652</v>
      </c>
      <c r="C303" s="20" t="s">
        <v>442</v>
      </c>
      <c r="D303" s="16" t="s">
        <v>446</v>
      </c>
      <c r="E303" s="16"/>
      <c r="F303" s="17"/>
      <c r="G303" s="16" t="s">
        <v>106</v>
      </c>
      <c r="H303" s="17">
        <f>408.5*25</f>
        <v>10212.5</v>
      </c>
      <c r="I303" s="16" t="s">
        <v>35</v>
      </c>
      <c r="J303" s="16"/>
      <c r="K303" s="17">
        <v>106.12</v>
      </c>
      <c r="L303" s="17">
        <f>0.923868*8.3454</f>
        <v>7.7100480072000002</v>
      </c>
      <c r="M303" s="18">
        <f t="shared" ref="M303:M309" si="246">(H303/L303)</f>
        <v>1324.5702219315747</v>
      </c>
      <c r="N303" s="17">
        <f t="shared" ref="N303:N309" si="247">(M303*(K303/100))</f>
        <v>1405.6339195137873</v>
      </c>
      <c r="O303" s="17">
        <f t="shared" si="243"/>
        <v>1324.5702219315747</v>
      </c>
      <c r="P303" s="102" t="s">
        <v>447</v>
      </c>
      <c r="Q303" s="14" t="s">
        <v>37</v>
      </c>
      <c r="R303" s="53">
        <v>25</v>
      </c>
      <c r="S303" s="119" t="s">
        <v>103</v>
      </c>
      <c r="T303" s="17">
        <f t="shared" si="244"/>
        <v>56.225356780551493</v>
      </c>
      <c r="U303" s="17">
        <f t="shared" si="245"/>
        <v>52.98280887726299</v>
      </c>
      <c r="V303" s="16"/>
      <c r="W303" s="16"/>
      <c r="X303" s="16"/>
      <c r="Y303" s="16"/>
      <c r="Z303" s="16"/>
      <c r="AA303" s="16"/>
      <c r="AB303" s="16"/>
      <c r="AC303" s="16" t="s">
        <v>378</v>
      </c>
      <c r="AD303" s="19"/>
    </row>
    <row r="304" spans="2:30">
      <c r="B304" s="14">
        <v>45652</v>
      </c>
      <c r="C304" s="20" t="s">
        <v>442</v>
      </c>
      <c r="D304" s="16" t="s">
        <v>448</v>
      </c>
      <c r="E304" s="16"/>
      <c r="F304" s="17"/>
      <c r="G304" s="16" t="s">
        <v>106</v>
      </c>
      <c r="H304" s="16">
        <f>408.5*25</f>
        <v>10212.5</v>
      </c>
      <c r="I304" s="16" t="s">
        <v>35</v>
      </c>
      <c r="J304" s="16"/>
      <c r="K304" s="17">
        <v>106.12</v>
      </c>
      <c r="L304" s="17">
        <f>0.923868*8.3454</f>
        <v>7.7100480072000002</v>
      </c>
      <c r="M304" s="18">
        <f t="shared" si="246"/>
        <v>1324.5702219315747</v>
      </c>
      <c r="N304" s="17">
        <f t="shared" si="247"/>
        <v>1405.6339195137873</v>
      </c>
      <c r="O304" s="17">
        <f t="shared" si="243"/>
        <v>1324.5702219315747</v>
      </c>
      <c r="P304" s="102" t="s">
        <v>449</v>
      </c>
      <c r="Q304" s="14" t="s">
        <v>37</v>
      </c>
      <c r="R304" s="53">
        <v>25</v>
      </c>
      <c r="S304" s="119" t="s">
        <v>103</v>
      </c>
      <c r="T304" s="17">
        <f t="shared" si="244"/>
        <v>56.225356780551493</v>
      </c>
      <c r="U304" s="17">
        <f t="shared" si="245"/>
        <v>52.98280887726299</v>
      </c>
      <c r="V304" s="16"/>
      <c r="W304" s="16"/>
      <c r="X304" s="16"/>
      <c r="Y304" s="16"/>
      <c r="Z304" s="16"/>
      <c r="AA304" s="16"/>
      <c r="AB304" s="16"/>
      <c r="AC304" s="16" t="s">
        <v>378</v>
      </c>
      <c r="AD304" s="19"/>
    </row>
    <row r="305" spans="2:30">
      <c r="B305" s="14">
        <v>45652</v>
      </c>
      <c r="C305" s="20" t="s">
        <v>442</v>
      </c>
      <c r="D305" s="16" t="s">
        <v>450</v>
      </c>
      <c r="E305" s="16"/>
      <c r="F305" s="17"/>
      <c r="G305" s="16" t="s">
        <v>106</v>
      </c>
      <c r="H305" s="16">
        <f>408.5*157</f>
        <v>64134.5</v>
      </c>
      <c r="I305" s="16" t="s">
        <v>35</v>
      </c>
      <c r="J305" s="16"/>
      <c r="K305" s="17">
        <v>106.12</v>
      </c>
      <c r="L305" s="17">
        <f>0.923868*8.3454</f>
        <v>7.7100480072000002</v>
      </c>
      <c r="M305" s="18">
        <f t="shared" si="246"/>
        <v>8318.3009937302904</v>
      </c>
      <c r="N305" s="17">
        <f t="shared" si="247"/>
        <v>8827.381014546585</v>
      </c>
      <c r="O305" s="17">
        <f t="shared" si="243"/>
        <v>8318.3009937302904</v>
      </c>
      <c r="P305" s="102" t="s">
        <v>451</v>
      </c>
      <c r="Q305" s="14" t="s">
        <v>37</v>
      </c>
      <c r="R305" s="23">
        <v>157</v>
      </c>
      <c r="S305" s="119" t="s">
        <v>103</v>
      </c>
      <c r="T305" s="17">
        <f t="shared" si="244"/>
        <v>56.225356780551493</v>
      </c>
      <c r="U305" s="17">
        <f t="shared" si="245"/>
        <v>52.982808877262997</v>
      </c>
      <c r="V305" s="16"/>
      <c r="W305" s="16"/>
      <c r="X305" s="16"/>
      <c r="Y305" s="16"/>
      <c r="Z305" s="16"/>
      <c r="AA305" s="16"/>
      <c r="AB305" s="16"/>
      <c r="AC305" s="16" t="s">
        <v>378</v>
      </c>
      <c r="AD305" s="19"/>
    </row>
    <row r="306" spans="2:30">
      <c r="B306" s="14">
        <v>45652</v>
      </c>
      <c r="C306" s="20" t="s">
        <v>442</v>
      </c>
      <c r="D306" s="16" t="s">
        <v>452</v>
      </c>
      <c r="E306" s="16"/>
      <c r="F306" s="17"/>
      <c r="G306" s="16"/>
      <c r="H306" s="16">
        <f>408.5*68</f>
        <v>27778</v>
      </c>
      <c r="I306" s="16" t="s">
        <v>35</v>
      </c>
      <c r="J306" s="16"/>
      <c r="K306" s="17">
        <v>106</v>
      </c>
      <c r="L306" s="17">
        <f>0.92399*8.3454</f>
        <v>7.7110661459999994</v>
      </c>
      <c r="M306" s="18">
        <f t="shared" si="246"/>
        <v>3602.355300039726</v>
      </c>
      <c r="N306" s="17">
        <f t="shared" si="247"/>
        <v>3818.4966180421097</v>
      </c>
      <c r="O306" s="17">
        <f t="shared" si="243"/>
        <v>3602.355300039726</v>
      </c>
      <c r="P306" s="102" t="s">
        <v>451</v>
      </c>
      <c r="Q306" s="14" t="s">
        <v>37</v>
      </c>
      <c r="R306" s="23">
        <v>68</v>
      </c>
      <c r="S306" s="119" t="s">
        <v>103</v>
      </c>
      <c r="T306" s="17">
        <f t="shared" si="244"/>
        <v>56.154362030031024</v>
      </c>
      <c r="U306" s="17">
        <f t="shared" si="245"/>
        <v>52.97581323587832</v>
      </c>
      <c r="V306" s="16"/>
      <c r="W306" s="16"/>
      <c r="X306" s="16"/>
      <c r="Y306" s="16"/>
      <c r="Z306" s="16"/>
      <c r="AA306" s="16"/>
      <c r="AB306" s="16"/>
      <c r="AC306" s="16"/>
      <c r="AD306" s="19"/>
    </row>
    <row r="307" spans="2:30">
      <c r="B307" s="14">
        <v>45652</v>
      </c>
      <c r="C307" s="20" t="s">
        <v>442</v>
      </c>
      <c r="D307" s="16" t="s">
        <v>453</v>
      </c>
      <c r="E307" s="16"/>
      <c r="F307" s="17"/>
      <c r="G307" s="16"/>
      <c r="H307" s="16">
        <f>408.5*25</f>
        <v>10212.5</v>
      </c>
      <c r="I307" s="16" t="s">
        <v>35</v>
      </c>
      <c r="J307" s="16"/>
      <c r="K307" s="17">
        <v>106</v>
      </c>
      <c r="L307" s="17">
        <f>0.92399*8.3454</f>
        <v>7.7110661459999994</v>
      </c>
      <c r="M307" s="18">
        <f t="shared" si="246"/>
        <v>1324.3953308969581</v>
      </c>
      <c r="N307" s="17">
        <f t="shared" si="247"/>
        <v>1403.8590507507756</v>
      </c>
      <c r="O307" s="17">
        <f t="shared" si="243"/>
        <v>1324.3953308969581</v>
      </c>
      <c r="P307" s="102" t="s">
        <v>451</v>
      </c>
      <c r="Q307" s="14" t="s">
        <v>37</v>
      </c>
      <c r="R307" s="53">
        <v>25</v>
      </c>
      <c r="S307" s="119" t="s">
        <v>103</v>
      </c>
      <c r="T307" s="17">
        <f t="shared" si="244"/>
        <v>56.154362030031024</v>
      </c>
      <c r="U307" s="17">
        <f t="shared" si="245"/>
        <v>52.97581323587832</v>
      </c>
      <c r="V307" s="16"/>
      <c r="W307" s="16"/>
      <c r="X307" s="16"/>
      <c r="Y307" s="16"/>
      <c r="Z307" s="16"/>
      <c r="AA307" s="16"/>
      <c r="AB307" s="16"/>
      <c r="AC307" s="16"/>
      <c r="AD307" s="19"/>
    </row>
    <row r="308" spans="2:30">
      <c r="B308" s="108">
        <v>45652</v>
      </c>
      <c r="C308" s="110" t="s">
        <v>454</v>
      </c>
      <c r="D308" s="111" t="s">
        <v>455</v>
      </c>
      <c r="E308" s="111"/>
      <c r="F308" s="112"/>
      <c r="G308" s="111" t="s">
        <v>106</v>
      </c>
      <c r="H308" s="111">
        <f>408.5*47</f>
        <v>19199.5</v>
      </c>
      <c r="I308" s="111" t="s">
        <v>35</v>
      </c>
      <c r="J308" s="111"/>
      <c r="K308" s="112">
        <v>106</v>
      </c>
      <c r="L308" s="112">
        <f>0.92399*8.3454</f>
        <v>7.7110661459999994</v>
      </c>
      <c r="M308" s="113">
        <f t="shared" si="246"/>
        <v>2489.863222086281</v>
      </c>
      <c r="N308" s="112">
        <f t="shared" si="247"/>
        <v>2639.2550154114579</v>
      </c>
      <c r="O308" s="112">
        <f t="shared" si="243"/>
        <v>2489.863222086281</v>
      </c>
      <c r="P308" s="21" t="s">
        <v>451</v>
      </c>
      <c r="Q308" s="108" t="s">
        <v>37</v>
      </c>
      <c r="R308" s="135">
        <v>47</v>
      </c>
      <c r="S308" s="21" t="s">
        <v>103</v>
      </c>
      <c r="T308" s="112">
        <f t="shared" si="244"/>
        <v>56.154362030031017</v>
      </c>
      <c r="U308" s="112">
        <f t="shared" si="245"/>
        <v>52.97581323587832</v>
      </c>
      <c r="V308" s="111"/>
      <c r="W308" s="111"/>
      <c r="X308" s="111"/>
      <c r="Y308" s="111"/>
      <c r="Z308" s="111"/>
      <c r="AA308" s="111"/>
      <c r="AB308" s="111"/>
      <c r="AC308" s="111"/>
      <c r="AD308" s="178"/>
    </row>
    <row r="309" spans="2:30">
      <c r="B309" s="108">
        <v>45652</v>
      </c>
      <c r="C309" s="110" t="s">
        <v>454</v>
      </c>
      <c r="D309" s="111" t="s">
        <v>456</v>
      </c>
      <c r="E309" s="111"/>
      <c r="F309" s="112"/>
      <c r="G309" s="111"/>
      <c r="H309" s="111">
        <f>408.5*68</f>
        <v>27778</v>
      </c>
      <c r="I309" s="111" t="s">
        <v>35</v>
      </c>
      <c r="J309" s="111"/>
      <c r="K309" s="112">
        <v>106</v>
      </c>
      <c r="L309" s="112">
        <f>0.92399*8.3454</f>
        <v>7.7110661459999994</v>
      </c>
      <c r="M309" s="113">
        <f t="shared" si="246"/>
        <v>3602.355300039726</v>
      </c>
      <c r="N309" s="112">
        <f t="shared" si="247"/>
        <v>3818.4966180421097</v>
      </c>
      <c r="O309" s="112">
        <f t="shared" si="243"/>
        <v>3602.355300039726</v>
      </c>
      <c r="P309" s="21" t="s">
        <v>444</v>
      </c>
      <c r="Q309" s="108" t="s">
        <v>37</v>
      </c>
      <c r="R309" s="249">
        <v>68</v>
      </c>
      <c r="S309" s="21" t="s">
        <v>103</v>
      </c>
      <c r="T309" s="112">
        <f t="shared" si="244"/>
        <v>56.154362030031024</v>
      </c>
      <c r="U309" s="112">
        <f t="shared" si="245"/>
        <v>52.97581323587832</v>
      </c>
      <c r="V309" s="111"/>
      <c r="W309" s="111"/>
      <c r="X309" s="111"/>
      <c r="Y309" s="111"/>
      <c r="Z309" s="111"/>
      <c r="AA309" s="111"/>
      <c r="AB309" s="111"/>
      <c r="AC309" s="111"/>
      <c r="AD309" s="178"/>
    </row>
    <row r="310" spans="2:30">
      <c r="B310" s="14">
        <v>45653</v>
      </c>
      <c r="C310" s="20" t="s">
        <v>457</v>
      </c>
      <c r="D310" s="16" t="s">
        <v>458</v>
      </c>
      <c r="E310" s="16"/>
      <c r="F310" s="17"/>
      <c r="G310" s="16" t="s">
        <v>106</v>
      </c>
      <c r="H310" s="16">
        <f>402.5*47</f>
        <v>18917.5</v>
      </c>
      <c r="I310" s="16" t="s">
        <v>157</v>
      </c>
      <c r="J310" s="16"/>
      <c r="K310" s="17">
        <v>119.77</v>
      </c>
      <c r="L310" s="17">
        <f>0.909258*8.3454</f>
        <v>7.5881217131999996</v>
      </c>
      <c r="M310" s="18">
        <f t="shared" ref="M310:M319" si="248">(H310/L310)</f>
        <v>2493.0411918791256</v>
      </c>
      <c r="N310" s="17">
        <f t="shared" si="226"/>
        <v>2985.9154355136288</v>
      </c>
      <c r="O310" s="17">
        <f t="shared" ref="O310:O319" si="249">H310/L310</f>
        <v>2493.0411918791256</v>
      </c>
      <c r="P310" s="16" t="s">
        <v>36</v>
      </c>
      <c r="Q310" s="14" t="s">
        <v>37</v>
      </c>
      <c r="R310" s="23">
        <v>47</v>
      </c>
      <c r="S310" s="119" t="s">
        <v>103</v>
      </c>
      <c r="T310" s="17">
        <f t="shared" si="225"/>
        <v>63.530115649226147</v>
      </c>
      <c r="U310" s="17">
        <f t="shared" si="227"/>
        <v>53.043429614449479</v>
      </c>
      <c r="V310" s="16"/>
      <c r="W310" s="16"/>
      <c r="X310" s="16"/>
      <c r="Y310" s="16"/>
      <c r="Z310" s="16"/>
      <c r="AA310" s="16"/>
      <c r="AB310" s="16"/>
      <c r="AC310" s="16" t="s">
        <v>378</v>
      </c>
      <c r="AD310" s="19"/>
    </row>
    <row r="311" spans="2:30">
      <c r="B311" s="14">
        <v>45653</v>
      </c>
      <c r="C311" s="20" t="s">
        <v>457</v>
      </c>
      <c r="D311" s="16" t="s">
        <v>459</v>
      </c>
      <c r="E311" s="16"/>
      <c r="F311" s="17"/>
      <c r="G311" s="16" t="s">
        <v>106</v>
      </c>
      <c r="H311" s="16">
        <f>402.5*161</f>
        <v>64802.5</v>
      </c>
      <c r="I311" s="16" t="s">
        <v>157</v>
      </c>
      <c r="J311" s="16"/>
      <c r="K311" s="17">
        <v>119.77</v>
      </c>
      <c r="L311" s="17">
        <f>0.909258*8.3454</f>
        <v>7.5881217131999996</v>
      </c>
      <c r="M311" s="18">
        <f t="shared" si="248"/>
        <v>8539.9921679263662</v>
      </c>
      <c r="N311" s="17">
        <f t="shared" si="226"/>
        <v>10228.348619525408</v>
      </c>
      <c r="O311" s="17">
        <f t="shared" si="249"/>
        <v>8539.9921679263662</v>
      </c>
      <c r="P311" s="16" t="s">
        <v>92</v>
      </c>
      <c r="Q311" s="14" t="s">
        <v>37</v>
      </c>
      <c r="R311" s="23">
        <v>161</v>
      </c>
      <c r="S311" s="119" t="s">
        <v>103</v>
      </c>
      <c r="T311" s="17">
        <f t="shared" si="225"/>
        <v>63.53011564922614</v>
      </c>
      <c r="U311" s="17">
        <f t="shared" si="227"/>
        <v>53.043429614449479</v>
      </c>
      <c r="V311" s="16"/>
      <c r="W311" s="16"/>
      <c r="X311" s="16"/>
      <c r="Y311" s="16"/>
      <c r="Z311" s="16"/>
      <c r="AA311" s="16"/>
      <c r="AB311" s="16"/>
      <c r="AC311" s="16" t="s">
        <v>378</v>
      </c>
      <c r="AD311" s="19"/>
    </row>
    <row r="312" spans="2:30">
      <c r="B312" s="14">
        <v>45653</v>
      </c>
      <c r="C312" s="20" t="s">
        <v>457</v>
      </c>
      <c r="D312" s="16" t="s">
        <v>460</v>
      </c>
      <c r="E312" s="16"/>
      <c r="F312" s="17"/>
      <c r="G312" s="16" t="s">
        <v>106</v>
      </c>
      <c r="H312" s="16">
        <f>402.5*156</f>
        <v>62790</v>
      </c>
      <c r="I312" s="16" t="s">
        <v>157</v>
      </c>
      <c r="J312" s="16"/>
      <c r="K312" s="17">
        <v>119.87</v>
      </c>
      <c r="L312" s="17">
        <f>0.90915*8.3454</f>
        <v>7.5872204099999996</v>
      </c>
      <c r="M312" s="18">
        <f t="shared" si="248"/>
        <v>8275.7579992328192</v>
      </c>
      <c r="N312" s="17">
        <f t="shared" si="226"/>
        <v>9920.151113680382</v>
      </c>
      <c r="O312" s="17">
        <f t="shared" si="249"/>
        <v>8275.7579992328192</v>
      </c>
      <c r="P312" s="16" t="s">
        <v>92</v>
      </c>
      <c r="Q312" s="14" t="s">
        <v>37</v>
      </c>
      <c r="R312" s="23">
        <v>156</v>
      </c>
      <c r="S312" s="119" t="s">
        <v>103</v>
      </c>
      <c r="T312" s="17">
        <f t="shared" si="225"/>
        <v>63.590712267181935</v>
      </c>
      <c r="U312" s="17">
        <f t="shared" si="227"/>
        <v>53.04973076431294</v>
      </c>
      <c r="V312" s="16"/>
      <c r="W312" s="16"/>
      <c r="X312" s="16"/>
      <c r="Y312" s="16"/>
      <c r="Z312" s="16"/>
      <c r="AA312" s="16"/>
      <c r="AB312" s="16"/>
      <c r="AC312" s="16" t="s">
        <v>378</v>
      </c>
      <c r="AD312" s="19"/>
    </row>
    <row r="313" spans="2:30">
      <c r="B313" s="14">
        <v>45656</v>
      </c>
      <c r="C313" s="20" t="s">
        <v>457</v>
      </c>
      <c r="D313" s="16" t="s">
        <v>461</v>
      </c>
      <c r="E313" s="16"/>
      <c r="F313" s="17"/>
      <c r="G313" s="16"/>
      <c r="H313" s="16">
        <f>402.5*161</f>
        <v>64802.5</v>
      </c>
      <c r="I313" s="16" t="s">
        <v>157</v>
      </c>
      <c r="J313" s="16"/>
      <c r="K313" s="17">
        <v>120.09</v>
      </c>
      <c r="L313" s="17">
        <f>0.908909*8.3454</f>
        <v>7.5852091685999996</v>
      </c>
      <c r="M313" s="18">
        <f t="shared" si="248"/>
        <v>8543.2713270793793</v>
      </c>
      <c r="N313" s="17">
        <f t="shared" si="226"/>
        <v>10259.614536689627</v>
      </c>
      <c r="O313" s="17">
        <f t="shared" si="249"/>
        <v>8543.2713270793793</v>
      </c>
      <c r="P313" s="16" t="s">
        <v>92</v>
      </c>
      <c r="Q313" s="14" t="s">
        <v>37</v>
      </c>
      <c r="R313" s="53">
        <v>161</v>
      </c>
      <c r="S313" s="119" t="s">
        <v>103</v>
      </c>
      <c r="T313" s="17">
        <f t="shared" ref="T313" si="250">(N313-V313)/R313</f>
        <v>63.724313892482158</v>
      </c>
      <c r="U313" s="17">
        <f t="shared" ref="U313" si="251">(O313-V313)/R313</f>
        <v>53.063797062604841</v>
      </c>
      <c r="V313" s="16"/>
      <c r="W313" s="16"/>
      <c r="X313" s="16"/>
      <c r="Y313" s="16"/>
      <c r="Z313" s="16"/>
      <c r="AA313" s="16"/>
      <c r="AB313" s="16"/>
      <c r="AC313" s="16"/>
      <c r="AD313" s="19"/>
    </row>
    <row r="314" spans="2:30">
      <c r="B314" s="251">
        <v>45656</v>
      </c>
      <c r="C314" s="110" t="s">
        <v>462</v>
      </c>
      <c r="D314" s="111" t="s">
        <v>463</v>
      </c>
      <c r="E314" s="111"/>
      <c r="F314" s="112"/>
      <c r="G314" s="111"/>
      <c r="H314" s="111">
        <f>402.5*34</f>
        <v>13685</v>
      </c>
      <c r="I314" s="111" t="s">
        <v>157</v>
      </c>
      <c r="J314" s="111"/>
      <c r="K314" s="112">
        <v>120.09</v>
      </c>
      <c r="L314" s="112">
        <f t="shared" ref="L314" si="252">0.908909*8.3454</f>
        <v>7.5852091685999996</v>
      </c>
      <c r="M314" s="113">
        <f t="shared" ref="M314" si="253">(H314/L314)</f>
        <v>1804.1691001285647</v>
      </c>
      <c r="N314" s="112">
        <f t="shared" ref="N314" si="254">(M314*(K314/100))</f>
        <v>2166.6266723443932</v>
      </c>
      <c r="O314" s="112">
        <f t="shared" ref="O314" si="255">H314/L314</f>
        <v>1804.1691001285647</v>
      </c>
      <c r="P314" s="111" t="s">
        <v>92</v>
      </c>
      <c r="Q314" s="111" t="s">
        <v>37</v>
      </c>
      <c r="R314" s="250">
        <v>31</v>
      </c>
      <c r="S314" s="21" t="s">
        <v>103</v>
      </c>
      <c r="T314" s="112">
        <f t="shared" ref="T314" si="256">(N314-V314)/R314</f>
        <v>69.89118297885139</v>
      </c>
      <c r="U314" s="112">
        <f t="shared" ref="U314" si="257">(O314-V314)/R314</f>
        <v>58.199003229953696</v>
      </c>
      <c r="V314" s="111"/>
      <c r="W314" s="111"/>
      <c r="X314" s="111"/>
      <c r="Y314" s="111"/>
      <c r="Z314" s="111"/>
      <c r="AA314" s="111"/>
      <c r="AB314" s="111"/>
      <c r="AC314" s="111"/>
      <c r="AD314" s="178"/>
    </row>
    <row r="315" spans="2:30">
      <c r="B315" s="14">
        <v>45656</v>
      </c>
      <c r="C315" s="20" t="s">
        <v>464</v>
      </c>
      <c r="D315" s="16" t="s">
        <v>465</v>
      </c>
      <c r="E315" s="16"/>
      <c r="F315" s="17"/>
      <c r="G315" s="16" t="s">
        <v>106</v>
      </c>
      <c r="H315" s="16">
        <f>402.5*450</f>
        <v>181125</v>
      </c>
      <c r="I315" s="16" t="s">
        <v>35</v>
      </c>
      <c r="J315" s="16"/>
      <c r="K315" s="17">
        <v>120.17</v>
      </c>
      <c r="L315" s="17">
        <f>0.908809*8.3454</f>
        <v>7.5843746285999991</v>
      </c>
      <c r="M315" s="18">
        <f t="shared" ref="M315" si="258">(H315/L315)</f>
        <v>23881.336150906074</v>
      </c>
      <c r="N315" s="17">
        <f t="shared" ref="N315" si="259">(M315*(K315/100))</f>
        <v>28698.20165254383</v>
      </c>
      <c r="O315" s="17">
        <f t="shared" ref="O315" si="260">H315/L315</f>
        <v>23881.336150906074</v>
      </c>
      <c r="P315" s="248" t="s">
        <v>466</v>
      </c>
      <c r="Q315" s="14" t="s">
        <v>37</v>
      </c>
      <c r="R315" s="53">
        <v>450</v>
      </c>
      <c r="S315" s="119" t="s">
        <v>103</v>
      </c>
      <c r="T315" s="17">
        <f>(N315-V315)/R315</f>
        <v>63.773781450097403</v>
      </c>
      <c r="U315" s="17">
        <f>(O315-V315)/R315</f>
        <v>53.06963589090239</v>
      </c>
      <c r="V315" s="16"/>
      <c r="W315" s="16"/>
      <c r="X315" s="16"/>
      <c r="Y315" s="16"/>
      <c r="Z315" s="16"/>
      <c r="AA315" s="16"/>
      <c r="AB315" s="16"/>
      <c r="AC315" s="16" t="s">
        <v>378</v>
      </c>
      <c r="AD315" s="19"/>
    </row>
    <row r="316" spans="2:30">
      <c r="B316" s="108">
        <v>45656</v>
      </c>
      <c r="C316" s="252" t="s">
        <v>467</v>
      </c>
      <c r="D316" s="111" t="s">
        <v>468</v>
      </c>
      <c r="E316" s="111"/>
      <c r="F316" s="112"/>
      <c r="G316" s="111"/>
      <c r="H316" s="111">
        <f>7.59*4*55</f>
        <v>1669.8</v>
      </c>
      <c r="I316" s="111" t="s">
        <v>35</v>
      </c>
      <c r="J316" s="111"/>
      <c r="K316" s="112">
        <v>120.17</v>
      </c>
      <c r="L316" s="112">
        <f>0.908909*8.3454</f>
        <v>7.5852091685999996</v>
      </c>
      <c r="M316" s="113">
        <f>54.9*4</f>
        <v>219.6</v>
      </c>
      <c r="N316" s="112">
        <f t="shared" ref="N316" si="261">(M316*(K316/100))</f>
        <v>263.89332000000002</v>
      </c>
      <c r="O316" s="112">
        <f t="shared" ref="O316" si="262">H316/L316</f>
        <v>220.13895238543495</v>
      </c>
      <c r="P316" s="128" t="s">
        <v>413</v>
      </c>
      <c r="Q316" s="139" t="s">
        <v>414</v>
      </c>
      <c r="R316" s="128">
        <v>4</v>
      </c>
      <c r="S316" s="21" t="s">
        <v>103</v>
      </c>
      <c r="T316" s="112">
        <f t="shared" ref="T316" si="263">(N316-V316)/R316</f>
        <v>65.973330000000004</v>
      </c>
      <c r="U316" s="112">
        <f t="shared" ref="U316" si="264">(O316-V316)/R316</f>
        <v>55.034738096358737</v>
      </c>
      <c r="V316" s="111"/>
      <c r="W316" s="111"/>
      <c r="X316" s="111"/>
      <c r="Y316" s="111"/>
      <c r="Z316" s="111"/>
      <c r="AA316" s="111"/>
      <c r="AB316" s="111"/>
      <c r="AC316" s="111"/>
      <c r="AD316" s="178" t="s">
        <v>415</v>
      </c>
    </row>
    <row r="317" spans="2:30">
      <c r="B317" s="14">
        <v>45656</v>
      </c>
      <c r="C317" s="20" t="s">
        <v>469</v>
      </c>
      <c r="D317" s="16" t="s">
        <v>470</v>
      </c>
      <c r="E317" s="16"/>
      <c r="F317" s="17"/>
      <c r="G317" s="16" t="s">
        <v>106</v>
      </c>
      <c r="H317" s="16">
        <f>402.5*205</f>
        <v>82512.5</v>
      </c>
      <c r="I317" s="16" t="s">
        <v>35</v>
      </c>
      <c r="J317" s="16"/>
      <c r="K317" s="17">
        <v>120.18</v>
      </c>
      <c r="L317" s="17">
        <f>0.908793*8.3454</f>
        <v>7.5842411021999991</v>
      </c>
      <c r="M317" s="18">
        <f>(H317/L317)</f>
        <v>10879.466895648291</v>
      </c>
      <c r="N317" s="17">
        <f>(M317*(K317/100))</f>
        <v>13074.943315190116</v>
      </c>
      <c r="O317" s="17">
        <f>H317/L317</f>
        <v>10879.466895648291</v>
      </c>
      <c r="P317" s="243" t="s">
        <v>466</v>
      </c>
      <c r="Q317" s="14" t="s">
        <v>37</v>
      </c>
      <c r="R317" s="53">
        <v>205</v>
      </c>
      <c r="S317" s="119" t="s">
        <v>103</v>
      </c>
      <c r="T317" s="17">
        <f>(N317-V317)/R317</f>
        <v>63.780211293610321</v>
      </c>
      <c r="U317" s="17">
        <f>(O317-V317)/R317</f>
        <v>53.07057022267459</v>
      </c>
      <c r="V317" s="16"/>
      <c r="W317" s="16"/>
      <c r="X317" s="16"/>
      <c r="Y317" s="16"/>
      <c r="Z317" s="16"/>
      <c r="AA317" s="16"/>
      <c r="AB317" s="16"/>
      <c r="AC317" s="16" t="s">
        <v>378</v>
      </c>
      <c r="AD317" s="19"/>
    </row>
    <row r="318" spans="2:30">
      <c r="B318" s="14">
        <v>45657</v>
      </c>
      <c r="C318" s="20" t="s">
        <v>469</v>
      </c>
      <c r="D318" s="16" t="s">
        <v>471</v>
      </c>
      <c r="E318" s="16"/>
      <c r="F318" s="17"/>
      <c r="G318" s="16" t="s">
        <v>106</v>
      </c>
      <c r="H318" s="16">
        <f>402.5*95</f>
        <v>38237.5</v>
      </c>
      <c r="I318" s="16" t="s">
        <v>35</v>
      </c>
      <c r="J318" s="16"/>
      <c r="K318" s="17">
        <v>120.29</v>
      </c>
      <c r="L318" s="17">
        <f>0.908674*8.3454</f>
        <v>7.5832479995999993</v>
      </c>
      <c r="M318" s="18">
        <f>(H318/L318)</f>
        <v>5042.364433026185</v>
      </c>
      <c r="N318" s="17">
        <f>(M318*(K318/100))</f>
        <v>6065.4601764871986</v>
      </c>
      <c r="O318" s="17">
        <f>H318/L318</f>
        <v>5042.364433026185</v>
      </c>
      <c r="P318" s="243" t="s">
        <v>466</v>
      </c>
      <c r="Q318" s="14" t="s">
        <v>37</v>
      </c>
      <c r="R318" s="53">
        <v>95</v>
      </c>
      <c r="S318" s="119" t="s">
        <v>103</v>
      </c>
      <c r="T318" s="17">
        <f>(N318-V318)/R318</f>
        <v>63.846949226181039</v>
      </c>
      <c r="U318" s="17">
        <f>(O318-V318)/R318</f>
        <v>53.077520347644054</v>
      </c>
      <c r="V318" s="16"/>
      <c r="W318" s="16"/>
      <c r="X318" s="16"/>
      <c r="Y318" s="16"/>
      <c r="Z318" s="16"/>
      <c r="AA318" s="16"/>
      <c r="AB318" s="16"/>
      <c r="AC318" s="16" t="s">
        <v>378</v>
      </c>
      <c r="AD318" s="19"/>
    </row>
    <row r="319" spans="2:30">
      <c r="B319" s="14">
        <v>45657</v>
      </c>
      <c r="C319" s="105" t="s">
        <v>307</v>
      </c>
      <c r="D319" s="16" t="s">
        <v>472</v>
      </c>
      <c r="E319" s="16"/>
      <c r="F319" s="17"/>
      <c r="G319" s="16" t="s">
        <v>106</v>
      </c>
      <c r="H319" s="16">
        <f>400*194</f>
        <v>77600</v>
      </c>
      <c r="I319" s="16" t="s">
        <v>35</v>
      </c>
      <c r="J319" s="16"/>
      <c r="K319" s="17">
        <v>125</v>
      </c>
      <c r="L319" s="17">
        <v>7.5381999999999998</v>
      </c>
      <c r="M319" s="18">
        <f t="shared" si="248"/>
        <v>10294.2346979385</v>
      </c>
      <c r="N319" s="17">
        <v>12872.94</v>
      </c>
      <c r="O319" s="17">
        <f t="shared" si="249"/>
        <v>10294.2346979385</v>
      </c>
      <c r="P319" s="102" t="s">
        <v>92</v>
      </c>
      <c r="Q319" s="16" t="s">
        <v>37</v>
      </c>
      <c r="R319" s="23">
        <v>194</v>
      </c>
      <c r="S319" s="119" t="s">
        <v>103</v>
      </c>
      <c r="T319" s="17">
        <f t="shared" si="225"/>
        <v>66.355360824742277</v>
      </c>
      <c r="U319" s="17">
        <f t="shared" si="227"/>
        <v>53.063065453291237</v>
      </c>
      <c r="V319" s="16"/>
      <c r="W319" s="16"/>
      <c r="X319" s="16"/>
      <c r="Y319" s="16"/>
      <c r="Z319" s="16"/>
      <c r="AA319" s="16"/>
      <c r="AB319" s="16"/>
      <c r="AC319" s="16" t="s">
        <v>378</v>
      </c>
      <c r="AD319" s="19"/>
    </row>
  </sheetData>
  <sheetProtection selectLockedCells="1"/>
  <printOptions horizontalCentered="1" verticalCentered="1"/>
  <pageMargins left="0" right="0" top="0.25" bottom="0.25" header="0.3" footer="0.3"/>
  <pageSetup scale="46" fitToHeight="0" orientation="landscape"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E01DDC7D-A739-46FD-9011-97C9F30EF92D}">
          <x14:formula1>
            <xm:f>'DropDown Data'!$E$1:$E$6</xm:f>
          </x14:formula1>
          <xm:sqref>E2:E76 G2:G165 G168:G176 G197:G319</xm:sqref>
        </x14:dataValidation>
        <x14:dataValidation type="list" allowBlank="1" showInputMessage="1" showErrorMessage="1" xr:uid="{8EA9023E-720F-4216-BF1E-6AC344801317}">
          <x14:formula1>
            <xm:f>'DropDown Data'!$C$1:$C$6</xm:f>
          </x14:formula1>
          <xm:sqref>I110:I115 I2:I89 I95:I109</xm:sqref>
        </x14:dataValidation>
        <x14:dataValidation type="list" allowBlank="1" showInputMessage="1" showErrorMessage="1" xr:uid="{752E2CD9-1DE5-4545-A14E-120CDED28E8F}">
          <x14:formula1>
            <xm:f>'DropDown Data'!$A$1:$A$34</xm:f>
          </x14:formula1>
          <xm:sqref>AC177:AC181 AC2:AC83 AC91:AC175 AC183:AC319</xm:sqref>
        </x14:dataValidation>
        <x14:dataValidation type="list" allowBlank="1" showInputMessage="1" showErrorMessage="1" xr:uid="{6A4BF2FB-71FB-4D9F-9A76-38EFE751779B}">
          <x14:formula1>
            <xm:f>'DropDown Data'!$F$1:$F$3</xm:f>
          </x14:formula1>
          <xm:sqref>P37 P2:P36</xm:sqref>
        </x14:dataValidation>
        <x14:dataValidation type="list" allowBlank="1" showInputMessage="1" showErrorMessage="1" xr:uid="{F70CC719-91B2-40A0-99F8-02C38EC021F0}">
          <x14:formula1>
            <xm:f>'DropDown Data'!$C$1:$C$8</xm:f>
          </x14:formula1>
          <xm:sqref>I90:I94 I116:I165 I168:I176 I202:I319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7829-5FE1-D347-BDB3-413972581937}">
  <dimension ref="B28:B30"/>
  <sheetViews>
    <sheetView workbookViewId="0">
      <selection activeCell="B28" sqref="B28"/>
    </sheetView>
  </sheetViews>
  <sheetFormatPr defaultColWidth="11.42578125" defaultRowHeight="15"/>
  <sheetData>
    <row r="28" spans="2:2">
      <c r="B28">
        <v>5930</v>
      </c>
    </row>
    <row r="29" spans="2:2">
      <c r="B29">
        <f>B28/1.4</f>
        <v>4235.7142857142862</v>
      </c>
    </row>
    <row r="30" spans="2:2">
      <c r="B30">
        <f>30000/B29</f>
        <v>7.0826306913996619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FA36-578D-FF44-8732-D4F36123A509}">
  <dimension ref="A1:H286"/>
  <sheetViews>
    <sheetView workbookViewId="0">
      <selection activeCell="J41" sqref="J41"/>
    </sheetView>
  </sheetViews>
  <sheetFormatPr defaultColWidth="11.42578125" defaultRowHeight="15"/>
  <cols>
    <col min="1" max="1" width="8.140625" bestFit="1" customWidth="1"/>
    <col min="2" max="2" width="13" bestFit="1" customWidth="1"/>
    <col min="3" max="3" width="10" bestFit="1" customWidth="1"/>
    <col min="4" max="4" width="8" bestFit="1" customWidth="1"/>
    <col min="5" max="5" width="7.42578125" bestFit="1" customWidth="1"/>
    <col min="7" max="7" width="53" bestFit="1" customWidth="1"/>
    <col min="8" max="8" width="24.28515625" bestFit="1" customWidth="1"/>
  </cols>
  <sheetData>
    <row r="1" spans="1:8" ht="15.95" thickBot="1">
      <c r="A1" s="154" t="s">
        <v>473</v>
      </c>
      <c r="B1" s="155" t="s">
        <v>474</v>
      </c>
      <c r="C1" s="155" t="s">
        <v>475</v>
      </c>
      <c r="D1" s="177" t="s">
        <v>476</v>
      </c>
      <c r="E1" s="177" t="s">
        <v>477</v>
      </c>
      <c r="F1" s="156" t="s">
        <v>478</v>
      </c>
      <c r="G1" s="157" t="s">
        <v>479</v>
      </c>
      <c r="H1" s="176" t="s">
        <v>480</v>
      </c>
    </row>
    <row r="2" spans="1:8">
      <c r="A2" s="158">
        <v>45510</v>
      </c>
      <c r="B2" s="159" t="s">
        <v>481</v>
      </c>
      <c r="C2" s="159" t="s">
        <v>482</v>
      </c>
      <c r="D2" s="160">
        <v>4</v>
      </c>
      <c r="E2" s="160">
        <v>4</v>
      </c>
      <c r="F2" s="161" t="s">
        <v>483</v>
      </c>
      <c r="G2" s="162"/>
      <c r="H2" t="b">
        <f>_xlfn.XLOOKUP(C2,'TTB Reporting'!D:D,'TTB Reporting'!J:J,FALSE)</f>
        <v>0</v>
      </c>
    </row>
    <row r="3" spans="1:8">
      <c r="A3" s="158">
        <v>45510</v>
      </c>
      <c r="B3" s="159" t="s">
        <v>481</v>
      </c>
      <c r="C3" s="159" t="s">
        <v>484</v>
      </c>
      <c r="D3" s="163">
        <v>5</v>
      </c>
      <c r="E3" s="163">
        <v>4</v>
      </c>
      <c r="F3" s="161" t="s">
        <v>483</v>
      </c>
      <c r="G3" s="162"/>
      <c r="H3" t="b">
        <f>_xlfn.XLOOKUP(C3,'TTB Reporting'!D:D,'TTB Reporting'!J:J,FALSE)</f>
        <v>0</v>
      </c>
    </row>
    <row r="4" spans="1:8">
      <c r="A4" s="158">
        <v>45510</v>
      </c>
      <c r="B4" s="159" t="s">
        <v>481</v>
      </c>
      <c r="C4" s="159" t="s">
        <v>485</v>
      </c>
      <c r="D4" s="163">
        <v>5</v>
      </c>
      <c r="E4" s="163">
        <v>4</v>
      </c>
      <c r="F4" s="161" t="s">
        <v>483</v>
      </c>
      <c r="G4" s="162"/>
      <c r="H4" t="b">
        <f>_xlfn.XLOOKUP(C4,'TTB Reporting'!D:D,'TTB Reporting'!J:J,FALSE)</f>
        <v>0</v>
      </c>
    </row>
    <row r="5" spans="1:8">
      <c r="A5" s="158">
        <v>45510</v>
      </c>
      <c r="B5" s="159" t="s">
        <v>481</v>
      </c>
      <c r="C5" s="159" t="s">
        <v>482</v>
      </c>
      <c r="D5" s="163">
        <v>4</v>
      </c>
      <c r="E5" s="163">
        <v>4</v>
      </c>
      <c r="F5" s="161" t="s">
        <v>486</v>
      </c>
      <c r="G5" s="162" t="s">
        <v>487</v>
      </c>
      <c r="H5" t="b">
        <f>_xlfn.XLOOKUP(C5,'TTB Reporting'!D:D,'TTB Reporting'!J:J,FALSE)</f>
        <v>0</v>
      </c>
    </row>
    <row r="6" spans="1:8">
      <c r="A6" s="158">
        <v>45510</v>
      </c>
      <c r="B6" s="159" t="s">
        <v>481</v>
      </c>
      <c r="C6" s="159" t="s">
        <v>484</v>
      </c>
      <c r="D6" s="163">
        <v>5</v>
      </c>
      <c r="E6" s="163">
        <v>4</v>
      </c>
      <c r="F6" s="161" t="s">
        <v>486</v>
      </c>
      <c r="G6" s="162" t="s">
        <v>488</v>
      </c>
      <c r="H6" t="b">
        <f>_xlfn.XLOOKUP(C6,'TTB Reporting'!D:D,'TTB Reporting'!J:J,FALSE)</f>
        <v>0</v>
      </c>
    </row>
    <row r="7" spans="1:8">
      <c r="A7" s="158">
        <v>45510</v>
      </c>
      <c r="B7" s="159" t="s">
        <v>481</v>
      </c>
      <c r="C7" s="159" t="s">
        <v>485</v>
      </c>
      <c r="D7" s="163">
        <v>5</v>
      </c>
      <c r="E7" s="163">
        <v>4</v>
      </c>
      <c r="F7" s="161" t="s">
        <v>486</v>
      </c>
      <c r="G7" s="162" t="s">
        <v>489</v>
      </c>
      <c r="H7" t="b">
        <f>_xlfn.XLOOKUP(C7,'TTB Reporting'!D:D,'TTB Reporting'!J:J,FALSE)</f>
        <v>0</v>
      </c>
    </row>
    <row r="8" spans="1:8">
      <c r="A8" s="158">
        <v>45511</v>
      </c>
      <c r="B8" s="159" t="s">
        <v>481</v>
      </c>
      <c r="C8" s="159" t="s">
        <v>490</v>
      </c>
      <c r="D8" s="163">
        <v>5</v>
      </c>
      <c r="E8" s="163">
        <v>4</v>
      </c>
      <c r="F8" s="161" t="s">
        <v>483</v>
      </c>
      <c r="G8" s="162"/>
      <c r="H8" t="b">
        <f>_xlfn.XLOOKUP(C8,'TTB Reporting'!D:D,'TTB Reporting'!J:J,FALSE)</f>
        <v>0</v>
      </c>
    </row>
    <row r="9" spans="1:8">
      <c r="A9" s="158">
        <v>45511</v>
      </c>
      <c r="B9" s="159" t="s">
        <v>491</v>
      </c>
      <c r="C9" s="159" t="s">
        <v>492</v>
      </c>
      <c r="D9" s="163">
        <v>4</v>
      </c>
      <c r="E9" s="163">
        <v>4</v>
      </c>
      <c r="F9" s="161" t="s">
        <v>483</v>
      </c>
      <c r="G9" s="162" t="s">
        <v>493</v>
      </c>
      <c r="H9" t="b">
        <f>_xlfn.XLOOKUP(C9,'TTB Reporting'!D:D,'TTB Reporting'!J:J,FALSE)</f>
        <v>0</v>
      </c>
    </row>
    <row r="10" spans="1:8">
      <c r="A10" s="158">
        <v>45511</v>
      </c>
      <c r="B10" s="159" t="s">
        <v>481</v>
      </c>
      <c r="C10" s="159" t="s">
        <v>490</v>
      </c>
      <c r="D10" s="163">
        <v>5</v>
      </c>
      <c r="E10" s="163">
        <v>5</v>
      </c>
      <c r="F10" s="161" t="s">
        <v>486</v>
      </c>
      <c r="G10" s="162" t="s">
        <v>494</v>
      </c>
      <c r="H10" t="b">
        <f>_xlfn.XLOOKUP(C10,'TTB Reporting'!D:D,'TTB Reporting'!J:J,FALSE)</f>
        <v>0</v>
      </c>
    </row>
    <row r="11" spans="1:8">
      <c r="A11" s="158">
        <v>45511</v>
      </c>
      <c r="B11" s="159" t="s">
        <v>491</v>
      </c>
      <c r="C11" s="159" t="s">
        <v>492</v>
      </c>
      <c r="D11" s="163">
        <v>4</v>
      </c>
      <c r="E11" s="163">
        <v>4</v>
      </c>
      <c r="F11" s="161" t="s">
        <v>486</v>
      </c>
      <c r="G11" s="162" t="s">
        <v>495</v>
      </c>
      <c r="H11" t="b">
        <f>_xlfn.XLOOKUP(C11,'TTB Reporting'!D:D,'TTB Reporting'!J:J,FALSE)</f>
        <v>0</v>
      </c>
    </row>
    <row r="12" spans="1:8">
      <c r="A12" s="158">
        <v>45516</v>
      </c>
      <c r="B12" s="159" t="s">
        <v>491</v>
      </c>
      <c r="C12" s="159" t="s">
        <v>496</v>
      </c>
      <c r="D12" s="163">
        <v>4</v>
      </c>
      <c r="E12" s="163">
        <v>4</v>
      </c>
      <c r="F12" s="161" t="s">
        <v>483</v>
      </c>
      <c r="G12" s="162" t="s">
        <v>497</v>
      </c>
      <c r="H12" t="b">
        <f>_xlfn.XLOOKUP(C12,'TTB Reporting'!D:D,'TTB Reporting'!J:J,FALSE)</f>
        <v>0</v>
      </c>
    </row>
    <row r="13" spans="1:8">
      <c r="A13" s="158">
        <v>45516</v>
      </c>
      <c r="B13" s="159" t="s">
        <v>491</v>
      </c>
      <c r="C13" s="159" t="s">
        <v>498</v>
      </c>
      <c r="D13" s="163">
        <v>5</v>
      </c>
      <c r="E13" s="163">
        <v>4</v>
      </c>
      <c r="F13" s="161" t="s">
        <v>483</v>
      </c>
      <c r="G13" s="162" t="s">
        <v>499</v>
      </c>
      <c r="H13" t="b">
        <f>_xlfn.XLOOKUP(C13,'TTB Reporting'!D:D,'TTB Reporting'!J:J,FALSE)</f>
        <v>0</v>
      </c>
    </row>
    <row r="14" spans="1:8">
      <c r="A14" s="158">
        <v>45516</v>
      </c>
      <c r="B14" s="159" t="s">
        <v>491</v>
      </c>
      <c r="C14" s="159" t="s">
        <v>500</v>
      </c>
      <c r="D14" s="163">
        <v>5</v>
      </c>
      <c r="E14" s="163">
        <v>4</v>
      </c>
      <c r="F14" s="161" t="s">
        <v>483</v>
      </c>
      <c r="G14" s="162" t="s">
        <v>499</v>
      </c>
      <c r="H14" t="b">
        <f>_xlfn.XLOOKUP(C14,'TTB Reporting'!D:D,'TTB Reporting'!J:J,FALSE)</f>
        <v>0</v>
      </c>
    </row>
    <row r="15" spans="1:8">
      <c r="A15" s="158">
        <v>45517</v>
      </c>
      <c r="B15" s="159" t="s">
        <v>491</v>
      </c>
      <c r="C15" s="159" t="s">
        <v>501</v>
      </c>
      <c r="D15" s="163">
        <v>4</v>
      </c>
      <c r="E15" s="163">
        <v>4</v>
      </c>
      <c r="F15" s="161" t="s">
        <v>483</v>
      </c>
      <c r="G15" s="162" t="s">
        <v>502</v>
      </c>
      <c r="H15" t="b">
        <f>_xlfn.XLOOKUP(C15,'TTB Reporting'!D:D,'TTB Reporting'!J:J,FALSE)</f>
        <v>0</v>
      </c>
    </row>
    <row r="16" spans="1:8">
      <c r="A16" s="158">
        <v>45517</v>
      </c>
      <c r="B16" s="159" t="s">
        <v>491</v>
      </c>
      <c r="C16" s="159" t="s">
        <v>503</v>
      </c>
      <c r="D16" s="163">
        <v>5</v>
      </c>
      <c r="E16" s="163">
        <v>4</v>
      </c>
      <c r="F16" s="161" t="s">
        <v>483</v>
      </c>
      <c r="G16" s="162" t="s">
        <v>502</v>
      </c>
      <c r="H16" t="b">
        <f>_xlfn.XLOOKUP(C16,'TTB Reporting'!D:D,'TTB Reporting'!J:J,FALSE)</f>
        <v>0</v>
      </c>
    </row>
    <row r="17" spans="1:8">
      <c r="A17" s="158">
        <v>45517</v>
      </c>
      <c r="B17" s="159" t="s">
        <v>491</v>
      </c>
      <c r="C17" s="159" t="s">
        <v>504</v>
      </c>
      <c r="D17" s="163">
        <v>5</v>
      </c>
      <c r="E17" s="163">
        <v>4</v>
      </c>
      <c r="F17" s="161" t="s">
        <v>483</v>
      </c>
      <c r="G17" s="162" t="s">
        <v>502</v>
      </c>
      <c r="H17" t="b">
        <f>_xlfn.XLOOKUP(C17,'TTB Reporting'!D:D,'TTB Reporting'!J:J,FALSE)</f>
        <v>0</v>
      </c>
    </row>
    <row r="18" spans="1:8">
      <c r="A18" s="158">
        <v>45517</v>
      </c>
      <c r="B18" s="159" t="s">
        <v>491</v>
      </c>
      <c r="C18" s="159" t="s">
        <v>505</v>
      </c>
      <c r="D18" s="163">
        <v>5</v>
      </c>
      <c r="E18" s="163">
        <v>4</v>
      </c>
      <c r="F18" s="161" t="s">
        <v>483</v>
      </c>
      <c r="G18" s="162" t="s">
        <v>502</v>
      </c>
      <c r="H18" t="b">
        <f>_xlfn.XLOOKUP(C18,'TTB Reporting'!D:D,'TTB Reporting'!J:J,FALSE)</f>
        <v>0</v>
      </c>
    </row>
    <row r="19" spans="1:8">
      <c r="A19" s="158">
        <v>45518</v>
      </c>
      <c r="B19" s="159" t="s">
        <v>491</v>
      </c>
      <c r="C19" s="159" t="s">
        <v>506</v>
      </c>
      <c r="D19" s="163">
        <v>4</v>
      </c>
      <c r="E19" s="163">
        <v>4</v>
      </c>
      <c r="F19" s="161" t="s">
        <v>483</v>
      </c>
      <c r="G19" s="162" t="s">
        <v>507</v>
      </c>
      <c r="H19" t="b">
        <f>_xlfn.XLOOKUP(C19,'TTB Reporting'!D:D,'TTB Reporting'!J:J,FALSE)</f>
        <v>0</v>
      </c>
    </row>
    <row r="20" spans="1:8">
      <c r="A20" s="158">
        <v>45518</v>
      </c>
      <c r="B20" s="159" t="s">
        <v>491</v>
      </c>
      <c r="C20" s="159" t="s">
        <v>508</v>
      </c>
      <c r="D20" s="163">
        <v>4</v>
      </c>
      <c r="E20" s="163">
        <v>4</v>
      </c>
      <c r="F20" s="161" t="s">
        <v>483</v>
      </c>
      <c r="G20" s="162" t="s">
        <v>507</v>
      </c>
      <c r="H20" t="b">
        <f>_xlfn.XLOOKUP(C20,'TTB Reporting'!D:D,'TTB Reporting'!J:J,FALSE)</f>
        <v>0</v>
      </c>
    </row>
    <row r="21" spans="1:8">
      <c r="A21" s="158">
        <v>45520</v>
      </c>
      <c r="B21" s="159" t="s">
        <v>491</v>
      </c>
      <c r="C21" s="159" t="s">
        <v>509</v>
      </c>
      <c r="D21" s="163">
        <v>3</v>
      </c>
      <c r="E21" s="163">
        <v>3</v>
      </c>
      <c r="F21" s="161" t="s">
        <v>486</v>
      </c>
      <c r="G21" s="162" t="s">
        <v>510</v>
      </c>
      <c r="H21" s="175" t="b">
        <f>_xlfn.XLOOKUP(C21,'TTB Reporting'!D:D,'TTB Reporting'!J:J,FALSE)</f>
        <v>0</v>
      </c>
    </row>
    <row r="22" spans="1:8">
      <c r="A22" s="158">
        <v>45524</v>
      </c>
      <c r="B22" s="159" t="s">
        <v>511</v>
      </c>
      <c r="C22" s="159" t="s">
        <v>512</v>
      </c>
      <c r="D22" s="163">
        <v>5</v>
      </c>
      <c r="E22" s="163">
        <v>4</v>
      </c>
      <c r="F22" s="161" t="s">
        <v>486</v>
      </c>
      <c r="G22" s="162" t="s">
        <v>513</v>
      </c>
      <c r="H22" t="b">
        <f>_xlfn.XLOOKUP(C22,'TTB Reporting'!D:D,'TTB Reporting'!J:J,FALSE)</f>
        <v>0</v>
      </c>
    </row>
    <row r="23" spans="1:8">
      <c r="A23" s="158">
        <v>45523</v>
      </c>
      <c r="B23" s="159" t="s">
        <v>511</v>
      </c>
      <c r="C23" s="159" t="s">
        <v>514</v>
      </c>
      <c r="D23" s="163">
        <v>3</v>
      </c>
      <c r="E23" s="163">
        <v>3</v>
      </c>
      <c r="F23" s="161" t="s">
        <v>486</v>
      </c>
      <c r="G23" s="162" t="s">
        <v>515</v>
      </c>
      <c r="H23" s="175" t="b">
        <f>_xlfn.XLOOKUP(C23,'TTB Reporting'!D:D,'TTB Reporting'!J:J,FALSE)</f>
        <v>0</v>
      </c>
    </row>
    <row r="24" spans="1:8">
      <c r="A24" s="158">
        <v>45523</v>
      </c>
      <c r="B24" s="159" t="s">
        <v>511</v>
      </c>
      <c r="C24" s="159" t="s">
        <v>516</v>
      </c>
      <c r="D24" s="163">
        <v>3</v>
      </c>
      <c r="E24" s="163">
        <v>3</v>
      </c>
      <c r="F24" s="161" t="s">
        <v>486</v>
      </c>
      <c r="G24" s="162" t="s">
        <v>517</v>
      </c>
      <c r="H24" s="175" t="b">
        <f>_xlfn.XLOOKUP(C24,'TTB Reporting'!D:D,'TTB Reporting'!J:J,FALSE)</f>
        <v>0</v>
      </c>
    </row>
    <row r="25" spans="1:8">
      <c r="A25" s="158">
        <v>45524</v>
      </c>
      <c r="B25" s="159" t="s">
        <v>511</v>
      </c>
      <c r="C25" s="159" t="s">
        <v>518</v>
      </c>
      <c r="D25" s="163">
        <v>4</v>
      </c>
      <c r="E25" s="163">
        <v>4</v>
      </c>
      <c r="F25" s="161" t="s">
        <v>486</v>
      </c>
      <c r="G25" s="162" t="s">
        <v>519</v>
      </c>
      <c r="H25" t="b">
        <f>_xlfn.XLOOKUP(C25,'TTB Reporting'!D:D,'TTB Reporting'!J:J,FALSE)</f>
        <v>0</v>
      </c>
    </row>
    <row r="26" spans="1:8">
      <c r="A26" s="158">
        <v>45525</v>
      </c>
      <c r="B26" s="159" t="s">
        <v>511</v>
      </c>
      <c r="C26" s="159" t="s">
        <v>520</v>
      </c>
      <c r="D26" s="163">
        <v>4</v>
      </c>
      <c r="E26" s="163">
        <v>4</v>
      </c>
      <c r="F26" s="161" t="s">
        <v>486</v>
      </c>
      <c r="G26" s="162" t="s">
        <v>521</v>
      </c>
      <c r="H26" t="b">
        <f>_xlfn.XLOOKUP(C26,'TTB Reporting'!D:D,'TTB Reporting'!J:J,FALSE)</f>
        <v>0</v>
      </c>
    </row>
    <row r="27" spans="1:8">
      <c r="A27" s="158">
        <v>45525</v>
      </c>
      <c r="B27" s="159" t="s">
        <v>511</v>
      </c>
      <c r="C27" s="159" t="s">
        <v>139</v>
      </c>
      <c r="D27" s="163">
        <v>4</v>
      </c>
      <c r="E27" s="163">
        <v>4</v>
      </c>
      <c r="F27" s="161" t="s">
        <v>486</v>
      </c>
      <c r="G27" s="162" t="s">
        <v>522</v>
      </c>
      <c r="H27" t="str">
        <f>_xlfn.XLOOKUP(C27,'TTB Reporting'!D:D,'TTB Reporting'!J:J,FALSE)</f>
        <v>WHK 75-21-00-04</v>
      </c>
    </row>
    <row r="28" spans="1:8">
      <c r="A28" s="158">
        <v>45526</v>
      </c>
      <c r="B28" s="159" t="s">
        <v>523</v>
      </c>
      <c r="C28" s="159" t="s">
        <v>524</v>
      </c>
      <c r="D28" s="163">
        <v>5</v>
      </c>
      <c r="E28" s="163">
        <v>4</v>
      </c>
      <c r="F28" s="161" t="s">
        <v>486</v>
      </c>
      <c r="G28" s="162" t="s">
        <v>525</v>
      </c>
      <c r="H28" t="b">
        <f>_xlfn.XLOOKUP(C28,'TTB Reporting'!D:D,'TTB Reporting'!J:J,FALSE)</f>
        <v>0</v>
      </c>
    </row>
    <row r="29" spans="1:8">
      <c r="A29" s="158">
        <v>45526</v>
      </c>
      <c r="B29" s="159" t="s">
        <v>523</v>
      </c>
      <c r="C29" s="159" t="s">
        <v>526</v>
      </c>
      <c r="D29" s="163">
        <v>4</v>
      </c>
      <c r="E29" s="163">
        <v>4</v>
      </c>
      <c r="F29" s="161" t="s">
        <v>486</v>
      </c>
      <c r="G29" s="162" t="s">
        <v>527</v>
      </c>
      <c r="H29" t="b">
        <f>_xlfn.XLOOKUP(C29,'TTB Reporting'!D:D,'TTB Reporting'!J:J,FALSE)</f>
        <v>0</v>
      </c>
    </row>
    <row r="30" spans="1:8">
      <c r="A30" s="158">
        <v>45527</v>
      </c>
      <c r="B30" s="159" t="s">
        <v>523</v>
      </c>
      <c r="C30" s="159" t="s">
        <v>528</v>
      </c>
      <c r="D30" s="163">
        <v>4</v>
      </c>
      <c r="E30" s="163">
        <v>3</v>
      </c>
      <c r="F30" s="161" t="s">
        <v>486</v>
      </c>
      <c r="G30" s="162" t="s">
        <v>529</v>
      </c>
      <c r="H30" t="b">
        <f>_xlfn.XLOOKUP(C30,'TTB Reporting'!D:D,'TTB Reporting'!J:J,FALSE)</f>
        <v>0</v>
      </c>
    </row>
    <row r="31" spans="1:8">
      <c r="A31" s="158">
        <v>45527</v>
      </c>
      <c r="B31" s="159" t="s">
        <v>530</v>
      </c>
      <c r="C31" s="159" t="s">
        <v>118</v>
      </c>
      <c r="D31" s="163">
        <v>4</v>
      </c>
      <c r="E31" s="163">
        <v>4</v>
      </c>
      <c r="F31" s="161" t="s">
        <v>486</v>
      </c>
      <c r="G31" s="162" t="s">
        <v>531</v>
      </c>
      <c r="H31" t="str">
        <f>_xlfn.XLOOKUP(C31,'TTB Reporting'!D:D,'TTB Reporting'!J:J,FALSE)</f>
        <v>LQD 75-21-00-04</v>
      </c>
    </row>
    <row r="32" spans="1:8">
      <c r="A32" s="158">
        <v>45527</v>
      </c>
      <c r="B32" s="159" t="s">
        <v>530</v>
      </c>
      <c r="C32" s="159" t="s">
        <v>119</v>
      </c>
      <c r="D32" s="163">
        <v>3</v>
      </c>
      <c r="E32" s="163">
        <v>3</v>
      </c>
      <c r="F32" s="161" t="s">
        <v>486</v>
      </c>
      <c r="G32" s="162"/>
      <c r="H32" s="175" t="str">
        <f>_xlfn.XLOOKUP(C32,'TTB Reporting'!D:D,'TTB Reporting'!J:J,FALSE)</f>
        <v>LQD 75-21-00-04</v>
      </c>
    </row>
    <row r="33" spans="1:8">
      <c r="A33" s="158">
        <v>45526</v>
      </c>
      <c r="B33" s="159" t="s">
        <v>523</v>
      </c>
      <c r="C33" s="159" t="s">
        <v>524</v>
      </c>
      <c r="D33" s="163">
        <v>4</v>
      </c>
      <c r="E33" s="163">
        <v>3</v>
      </c>
      <c r="F33" s="161" t="s">
        <v>483</v>
      </c>
      <c r="G33" s="162" t="s">
        <v>532</v>
      </c>
      <c r="H33" t="b">
        <f>_xlfn.XLOOKUP(C33,'TTB Reporting'!D:D,'TTB Reporting'!J:J,FALSE)</f>
        <v>0</v>
      </c>
    </row>
    <row r="34" spans="1:8">
      <c r="A34" s="158">
        <v>45526</v>
      </c>
      <c r="B34" s="159" t="s">
        <v>523</v>
      </c>
      <c r="C34" s="159" t="s">
        <v>526</v>
      </c>
      <c r="D34" s="163">
        <v>4</v>
      </c>
      <c r="E34" s="163">
        <v>3</v>
      </c>
      <c r="F34" s="161" t="s">
        <v>483</v>
      </c>
      <c r="G34" s="162" t="s">
        <v>532</v>
      </c>
      <c r="H34" t="b">
        <f>_xlfn.XLOOKUP(C34,'TTB Reporting'!D:D,'TTB Reporting'!J:J,FALSE)</f>
        <v>0</v>
      </c>
    </row>
    <row r="35" spans="1:8">
      <c r="A35" s="158">
        <v>45527</v>
      </c>
      <c r="B35" s="159" t="s">
        <v>523</v>
      </c>
      <c r="C35" s="159" t="s">
        <v>528</v>
      </c>
      <c r="D35" s="163">
        <v>4</v>
      </c>
      <c r="E35" s="163">
        <v>3</v>
      </c>
      <c r="F35" s="161" t="s">
        <v>483</v>
      </c>
      <c r="G35" s="162" t="s">
        <v>533</v>
      </c>
      <c r="H35" t="b">
        <f>_xlfn.XLOOKUP(C35,'TTB Reporting'!D:D,'TTB Reporting'!J:J,FALSE)</f>
        <v>0</v>
      </c>
    </row>
    <row r="36" spans="1:8">
      <c r="A36" s="158">
        <v>45527</v>
      </c>
      <c r="B36" s="159" t="s">
        <v>530</v>
      </c>
      <c r="C36" s="159" t="s">
        <v>118</v>
      </c>
      <c r="D36" s="163">
        <v>4</v>
      </c>
      <c r="E36" s="163">
        <v>4</v>
      </c>
      <c r="F36" s="161" t="s">
        <v>483</v>
      </c>
      <c r="G36" s="162" t="s">
        <v>534</v>
      </c>
      <c r="H36" t="str">
        <f>_xlfn.XLOOKUP(C36,'TTB Reporting'!D:D,'TTB Reporting'!J:J,FALSE)</f>
        <v>LQD 75-21-00-04</v>
      </c>
    </row>
    <row r="37" spans="1:8">
      <c r="A37" s="164">
        <v>45527</v>
      </c>
      <c r="B37" s="165" t="s">
        <v>530</v>
      </c>
      <c r="C37" s="159" t="s">
        <v>119</v>
      </c>
      <c r="D37" s="163">
        <v>3</v>
      </c>
      <c r="E37" s="163">
        <v>3</v>
      </c>
      <c r="F37" s="161" t="s">
        <v>483</v>
      </c>
      <c r="G37" s="162" t="s">
        <v>535</v>
      </c>
      <c r="H37" s="175" t="str">
        <f>_xlfn.XLOOKUP(C37,'TTB Reporting'!D:D,'TTB Reporting'!J:J,FALSE)</f>
        <v>LQD 75-21-00-04</v>
      </c>
    </row>
    <row r="38" spans="1:8">
      <c r="A38" s="166">
        <v>45531</v>
      </c>
      <c r="B38" s="159" t="s">
        <v>536</v>
      </c>
      <c r="C38" s="159"/>
      <c r="D38" s="163">
        <v>5</v>
      </c>
      <c r="E38" s="163">
        <v>5</v>
      </c>
      <c r="F38" s="161" t="s">
        <v>486</v>
      </c>
      <c r="G38" s="162" t="s">
        <v>537</v>
      </c>
      <c r="H38">
        <f>_xlfn.XLOOKUP(C38,'TTB Reporting'!D:D,'TTB Reporting'!J:J,FALSE)</f>
        <v>0</v>
      </c>
    </row>
    <row r="39" spans="1:8">
      <c r="A39" s="158">
        <v>45530</v>
      </c>
      <c r="B39" s="159" t="s">
        <v>530</v>
      </c>
      <c r="C39" s="159" t="s">
        <v>120</v>
      </c>
      <c r="D39" s="163">
        <v>4</v>
      </c>
      <c r="E39" s="163">
        <v>4</v>
      </c>
      <c r="F39" s="161" t="s">
        <v>486</v>
      </c>
      <c r="G39" s="162" t="s">
        <v>538</v>
      </c>
      <c r="H39" t="str">
        <f>_xlfn.XLOOKUP(C39,'TTB Reporting'!D:D,'TTB Reporting'!J:J,FALSE)</f>
        <v>LQD 75-21-00-04</v>
      </c>
    </row>
    <row r="40" spans="1:8">
      <c r="A40" s="158">
        <v>45530</v>
      </c>
      <c r="B40" s="159" t="s">
        <v>530</v>
      </c>
      <c r="C40" s="159" t="s">
        <v>120</v>
      </c>
      <c r="D40" s="163">
        <v>4</v>
      </c>
      <c r="E40" s="163">
        <v>4</v>
      </c>
      <c r="F40" s="167" t="s">
        <v>483</v>
      </c>
      <c r="G40" s="168" t="s">
        <v>539</v>
      </c>
      <c r="H40" t="str">
        <f>_xlfn.XLOOKUP(C40,'TTB Reporting'!D:D,'TTB Reporting'!J:J,FALSE)</f>
        <v>LQD 75-21-00-04</v>
      </c>
    </row>
    <row r="41" spans="1:8">
      <c r="A41" s="158">
        <v>45530</v>
      </c>
      <c r="B41" s="159" t="s">
        <v>530</v>
      </c>
      <c r="C41" s="159" t="s">
        <v>121</v>
      </c>
      <c r="D41" s="163">
        <v>4</v>
      </c>
      <c r="E41" s="163">
        <v>4</v>
      </c>
      <c r="F41" s="169" t="s">
        <v>486</v>
      </c>
      <c r="G41" s="162" t="s">
        <v>540</v>
      </c>
      <c r="H41" t="str">
        <f>_xlfn.XLOOKUP(C41,'TTB Reporting'!D:D,'TTB Reporting'!J:J,FALSE)</f>
        <v>LQD 75-21-00-04</v>
      </c>
    </row>
    <row r="42" spans="1:8">
      <c r="A42" s="158">
        <v>45530</v>
      </c>
      <c r="B42" s="159" t="s">
        <v>530</v>
      </c>
      <c r="C42" s="159" t="s">
        <v>121</v>
      </c>
      <c r="D42" s="163">
        <v>4</v>
      </c>
      <c r="E42" s="163">
        <v>4</v>
      </c>
      <c r="F42" s="161" t="s">
        <v>483</v>
      </c>
      <c r="G42" s="162" t="s">
        <v>541</v>
      </c>
      <c r="H42" t="str">
        <f>_xlfn.XLOOKUP(C42,'TTB Reporting'!D:D,'TTB Reporting'!J:J,FALSE)</f>
        <v>LQD 75-21-00-04</v>
      </c>
    </row>
    <row r="43" spans="1:8">
      <c r="A43" s="158">
        <v>45531</v>
      </c>
      <c r="B43" s="159" t="s">
        <v>542</v>
      </c>
      <c r="C43" s="159" t="s">
        <v>123</v>
      </c>
      <c r="D43" s="163">
        <v>4</v>
      </c>
      <c r="E43" s="163">
        <v>4</v>
      </c>
      <c r="F43" s="161" t="s">
        <v>486</v>
      </c>
      <c r="G43" s="162" t="s">
        <v>543</v>
      </c>
      <c r="H43" t="str">
        <f>_xlfn.XLOOKUP(C43,'TTB Reporting'!D:D,'TTB Reporting'!J:J,FALSE)</f>
        <v>WCL 75-15-00-10</v>
      </c>
    </row>
    <row r="44" spans="1:8">
      <c r="A44" s="158">
        <v>45531</v>
      </c>
      <c r="B44" s="159" t="s">
        <v>542</v>
      </c>
      <c r="C44" s="159" t="s">
        <v>123</v>
      </c>
      <c r="D44" s="163">
        <v>4</v>
      </c>
      <c r="E44" s="163">
        <v>4</v>
      </c>
      <c r="F44" s="161" t="s">
        <v>483</v>
      </c>
      <c r="G44" s="162" t="s">
        <v>544</v>
      </c>
      <c r="H44" t="str">
        <f>_xlfn.XLOOKUP(C44,'TTB Reporting'!D:D,'TTB Reporting'!J:J,FALSE)</f>
        <v>WCL 75-15-00-10</v>
      </c>
    </row>
    <row r="45" spans="1:8">
      <c r="A45" s="158">
        <v>45531</v>
      </c>
      <c r="B45" s="159" t="s">
        <v>542</v>
      </c>
      <c r="C45" s="159" t="s">
        <v>124</v>
      </c>
      <c r="D45" s="163">
        <v>4</v>
      </c>
      <c r="E45" s="163">
        <v>4</v>
      </c>
      <c r="F45" s="161" t="s">
        <v>486</v>
      </c>
      <c r="G45" s="162"/>
      <c r="H45" t="str">
        <f>_xlfn.XLOOKUP(C45,'TTB Reporting'!D:D,'TTB Reporting'!J:J,FALSE)</f>
        <v>WCL 75-15-00-10</v>
      </c>
    </row>
    <row r="46" spans="1:8">
      <c r="A46" s="158">
        <v>45531</v>
      </c>
      <c r="B46" s="159" t="s">
        <v>542</v>
      </c>
      <c r="C46" s="159" t="s">
        <v>124</v>
      </c>
      <c r="D46" s="163">
        <v>3</v>
      </c>
      <c r="E46" s="163">
        <v>3</v>
      </c>
      <c r="F46" s="161" t="s">
        <v>483</v>
      </c>
      <c r="G46" s="162" t="s">
        <v>545</v>
      </c>
      <c r="H46" s="175" t="str">
        <f>_xlfn.XLOOKUP(C46,'TTB Reporting'!D:D,'TTB Reporting'!J:J,FALSE)</f>
        <v>WCL 75-15-00-10</v>
      </c>
    </row>
    <row r="47" spans="1:8">
      <c r="A47" s="158">
        <v>45532</v>
      </c>
      <c r="B47" s="159" t="s">
        <v>542</v>
      </c>
      <c r="C47" s="159" t="s">
        <v>125</v>
      </c>
      <c r="D47" s="163">
        <v>3</v>
      </c>
      <c r="E47" s="163">
        <v>3</v>
      </c>
      <c r="F47" s="161" t="s">
        <v>486</v>
      </c>
      <c r="G47" s="162" t="s">
        <v>546</v>
      </c>
      <c r="H47" s="175" t="str">
        <f>_xlfn.XLOOKUP(C47,'TTB Reporting'!D:D,'TTB Reporting'!J:J,FALSE)</f>
        <v>WCL 75-15-00-10</v>
      </c>
    </row>
    <row r="48" spans="1:8">
      <c r="A48" s="158">
        <v>45532</v>
      </c>
      <c r="B48" s="159" t="s">
        <v>542</v>
      </c>
      <c r="C48" s="159" t="s">
        <v>125</v>
      </c>
      <c r="D48" s="163">
        <v>3</v>
      </c>
      <c r="E48" s="163">
        <v>3</v>
      </c>
      <c r="F48" s="161" t="s">
        <v>483</v>
      </c>
      <c r="G48" s="162" t="s">
        <v>547</v>
      </c>
      <c r="H48" s="175" t="str">
        <f>_xlfn.XLOOKUP(C48,'TTB Reporting'!D:D,'TTB Reporting'!J:J,FALSE)</f>
        <v>WCL 75-15-00-10</v>
      </c>
    </row>
    <row r="49" spans="1:8">
      <c r="A49" s="158">
        <v>45532</v>
      </c>
      <c r="B49" s="159" t="s">
        <v>548</v>
      </c>
      <c r="C49" s="159" t="s">
        <v>131</v>
      </c>
      <c r="D49" s="163">
        <v>3</v>
      </c>
      <c r="E49" s="163">
        <v>3</v>
      </c>
      <c r="F49" s="161" t="s">
        <v>486</v>
      </c>
      <c r="G49" s="162" t="s">
        <v>549</v>
      </c>
      <c r="H49" s="175" t="str">
        <f>_xlfn.XLOOKUP(C49,'TTB Reporting'!D:D,'TTB Reporting'!J:J,FALSE)</f>
        <v>HNW 51-39-00-10</v>
      </c>
    </row>
    <row r="50" spans="1:8">
      <c r="A50" s="158">
        <v>45532</v>
      </c>
      <c r="B50" s="159" t="s">
        <v>548</v>
      </c>
      <c r="C50" s="159" t="s">
        <v>131</v>
      </c>
      <c r="D50" s="163">
        <v>3</v>
      </c>
      <c r="E50" s="163">
        <v>4</v>
      </c>
      <c r="F50" s="161" t="s">
        <v>483</v>
      </c>
      <c r="G50" s="162" t="s">
        <v>550</v>
      </c>
      <c r="H50" s="175" t="str">
        <f>_xlfn.XLOOKUP(C50,'TTB Reporting'!D:D,'TTB Reporting'!J:J,FALSE)</f>
        <v>HNW 51-39-00-10</v>
      </c>
    </row>
    <row r="51" spans="1:8">
      <c r="A51" s="158">
        <v>45533</v>
      </c>
      <c r="B51" s="159" t="s">
        <v>548</v>
      </c>
      <c r="C51" s="159" t="s">
        <v>132</v>
      </c>
      <c r="D51" s="163">
        <v>3</v>
      </c>
      <c r="E51" s="163">
        <v>3</v>
      </c>
      <c r="F51" s="161" t="s">
        <v>486</v>
      </c>
      <c r="G51" s="162" t="s">
        <v>551</v>
      </c>
      <c r="H51" s="175" t="str">
        <f>_xlfn.XLOOKUP(C51,'TTB Reporting'!D:D,'TTB Reporting'!J:J,FALSE)</f>
        <v>HNW 51-39-00-10</v>
      </c>
    </row>
    <row r="52" spans="1:8">
      <c r="A52" s="158">
        <v>45533</v>
      </c>
      <c r="B52" s="159" t="s">
        <v>548</v>
      </c>
      <c r="C52" s="159" t="s">
        <v>132</v>
      </c>
      <c r="D52" s="163">
        <v>3</v>
      </c>
      <c r="E52" s="163">
        <v>3</v>
      </c>
      <c r="F52" s="161" t="s">
        <v>483</v>
      </c>
      <c r="G52" s="162" t="s">
        <v>552</v>
      </c>
      <c r="H52" s="175" t="str">
        <f>_xlfn.XLOOKUP(C52,'TTB Reporting'!D:D,'TTB Reporting'!J:J,FALSE)</f>
        <v>HNW 51-39-00-10</v>
      </c>
    </row>
    <row r="53" spans="1:8">
      <c r="A53" s="158">
        <v>45533</v>
      </c>
      <c r="B53" s="159" t="s">
        <v>553</v>
      </c>
      <c r="C53" s="159" t="s">
        <v>141</v>
      </c>
      <c r="D53" s="163">
        <v>3</v>
      </c>
      <c r="E53" s="163">
        <v>3</v>
      </c>
      <c r="F53" s="161" t="s">
        <v>486</v>
      </c>
      <c r="G53" s="162" t="s">
        <v>554</v>
      </c>
      <c r="H53" s="175" t="str">
        <f>_xlfn.XLOOKUP(C53,'TTB Reporting'!D:D,'TTB Reporting'!J:J,FALSE)</f>
        <v>WHK 51-39-00-10</v>
      </c>
    </row>
    <row r="54" spans="1:8">
      <c r="A54" s="158">
        <v>45533</v>
      </c>
      <c r="B54" s="159" t="s">
        <v>553</v>
      </c>
      <c r="C54" s="159" t="s">
        <v>141</v>
      </c>
      <c r="D54" s="163">
        <v>3</v>
      </c>
      <c r="E54" s="163">
        <v>3</v>
      </c>
      <c r="F54" s="161" t="s">
        <v>483</v>
      </c>
      <c r="G54" s="162" t="s">
        <v>555</v>
      </c>
      <c r="H54" s="175" t="str">
        <f>_xlfn.XLOOKUP(C54,'TTB Reporting'!D:D,'TTB Reporting'!J:J,FALSE)</f>
        <v>WHK 51-39-00-10</v>
      </c>
    </row>
    <row r="55" spans="1:8">
      <c r="A55" s="158">
        <v>45533</v>
      </c>
      <c r="B55" s="159" t="s">
        <v>553</v>
      </c>
      <c r="C55" s="159" t="s">
        <v>142</v>
      </c>
      <c r="D55" s="163">
        <v>3</v>
      </c>
      <c r="E55" s="163">
        <v>3</v>
      </c>
      <c r="F55" s="161" t="s">
        <v>486</v>
      </c>
      <c r="G55" s="162" t="s">
        <v>556</v>
      </c>
      <c r="H55" s="175" t="str">
        <f>_xlfn.XLOOKUP(C55,'TTB Reporting'!D:D,'TTB Reporting'!J:J,FALSE)</f>
        <v>WHK 51-39-00-10</v>
      </c>
    </row>
    <row r="56" spans="1:8">
      <c r="A56" s="158">
        <v>45533</v>
      </c>
      <c r="B56" s="159" t="s">
        <v>553</v>
      </c>
      <c r="C56" s="159" t="s">
        <v>142</v>
      </c>
      <c r="D56" s="163">
        <v>3</v>
      </c>
      <c r="E56" s="163">
        <v>3</v>
      </c>
      <c r="F56" s="161" t="s">
        <v>483</v>
      </c>
      <c r="G56" s="162" t="s">
        <v>557</v>
      </c>
      <c r="H56" s="175" t="str">
        <f>_xlfn.XLOOKUP(C56,'TTB Reporting'!D:D,'TTB Reporting'!J:J,FALSE)</f>
        <v>WHK 51-39-00-10</v>
      </c>
    </row>
    <row r="57" spans="1:8">
      <c r="A57" s="158">
        <v>45533</v>
      </c>
      <c r="B57" s="159" t="s">
        <v>542</v>
      </c>
      <c r="C57" s="159" t="s">
        <v>126</v>
      </c>
      <c r="D57" s="163">
        <v>3</v>
      </c>
      <c r="E57" s="163">
        <v>3</v>
      </c>
      <c r="F57" s="161" t="s">
        <v>486</v>
      </c>
      <c r="G57" s="162" t="s">
        <v>558</v>
      </c>
      <c r="H57" s="175" t="str">
        <f>_xlfn.XLOOKUP(C57,'TTB Reporting'!D:D,'TTB Reporting'!J:J,FALSE)</f>
        <v>WCL 75-15-00-10</v>
      </c>
    </row>
    <row r="58" spans="1:8">
      <c r="A58" s="158">
        <v>45533</v>
      </c>
      <c r="B58" s="159" t="s">
        <v>542</v>
      </c>
      <c r="C58" s="159" t="s">
        <v>126</v>
      </c>
      <c r="D58" s="163">
        <v>3</v>
      </c>
      <c r="E58" s="163">
        <v>3</v>
      </c>
      <c r="F58" s="161" t="s">
        <v>483</v>
      </c>
      <c r="G58" s="162" t="s">
        <v>559</v>
      </c>
      <c r="H58" s="175" t="str">
        <f>_xlfn.XLOOKUP(C58,'TTB Reporting'!D:D,'TTB Reporting'!J:J,FALSE)</f>
        <v>WCL 75-15-00-10</v>
      </c>
    </row>
    <row r="59" spans="1:8">
      <c r="A59" s="158">
        <v>45534</v>
      </c>
      <c r="B59" s="159" t="s">
        <v>560</v>
      </c>
      <c r="C59" s="159" t="s">
        <v>134</v>
      </c>
      <c r="D59" s="170">
        <v>3</v>
      </c>
      <c r="E59" s="170">
        <v>3</v>
      </c>
      <c r="F59" s="161" t="s">
        <v>483</v>
      </c>
      <c r="G59" s="162" t="s">
        <v>561</v>
      </c>
      <c r="H59" s="175" t="str">
        <f>_xlfn.XLOOKUP(C59,'TTB Reporting'!D:D,'TTB Reporting'!J:J,FALSE)</f>
        <v>BHK 60-40-00-00</v>
      </c>
    </row>
    <row r="60" spans="1:8">
      <c r="A60" s="158">
        <v>45534</v>
      </c>
      <c r="B60" s="159" t="s">
        <v>560</v>
      </c>
      <c r="C60" s="159" t="s">
        <v>134</v>
      </c>
      <c r="D60" s="163">
        <v>4</v>
      </c>
      <c r="E60" s="163">
        <v>4</v>
      </c>
      <c r="F60" s="161" t="s">
        <v>486</v>
      </c>
      <c r="G60" s="162" t="s">
        <v>562</v>
      </c>
      <c r="H60" t="str">
        <f>_xlfn.XLOOKUP(C60,'TTB Reporting'!D:D,'TTB Reporting'!J:J,FALSE)</f>
        <v>BHK 60-40-00-00</v>
      </c>
    </row>
    <row r="61" spans="1:8">
      <c r="A61" s="158">
        <v>45534</v>
      </c>
      <c r="B61" s="159" t="s">
        <v>542</v>
      </c>
      <c r="C61" s="159" t="s">
        <v>127</v>
      </c>
      <c r="D61" s="163">
        <v>3</v>
      </c>
      <c r="E61" s="163">
        <v>4</v>
      </c>
      <c r="F61" s="161" t="s">
        <v>483</v>
      </c>
      <c r="G61" s="162" t="s">
        <v>563</v>
      </c>
      <c r="H61" t="str">
        <f>_xlfn.XLOOKUP(C61,'TTB Reporting'!D:D,'TTB Reporting'!J:J,FALSE)</f>
        <v>WCL 75-15-00-10</v>
      </c>
    </row>
    <row r="62" spans="1:8">
      <c r="A62" s="158">
        <v>45534</v>
      </c>
      <c r="B62" s="159" t="s">
        <v>542</v>
      </c>
      <c r="C62" s="159" t="s">
        <v>127</v>
      </c>
      <c r="D62" s="163">
        <v>3</v>
      </c>
      <c r="E62" s="163">
        <v>3</v>
      </c>
      <c r="F62" s="161" t="s">
        <v>486</v>
      </c>
      <c r="G62" s="162" t="s">
        <v>564</v>
      </c>
      <c r="H62" s="175" t="str">
        <f>_xlfn.XLOOKUP(C62,'TTB Reporting'!D:D,'TTB Reporting'!J:J,FALSE)</f>
        <v>WCL 75-15-00-10</v>
      </c>
    </row>
    <row r="63" spans="1:8">
      <c r="A63" s="158">
        <v>45534</v>
      </c>
      <c r="B63" s="159" t="s">
        <v>553</v>
      </c>
      <c r="C63" s="159" t="s">
        <v>144</v>
      </c>
      <c r="D63" s="163">
        <v>3</v>
      </c>
      <c r="E63" s="163">
        <v>3</v>
      </c>
      <c r="F63" s="161" t="s">
        <v>483</v>
      </c>
      <c r="G63" s="162" t="s">
        <v>565</v>
      </c>
      <c r="H63" s="175" t="str">
        <f>_xlfn.XLOOKUP(C63,'TTB Reporting'!D:D,'TTB Reporting'!J:J,FALSE)</f>
        <v>WHK 75-15-00-10</v>
      </c>
    </row>
    <row r="64" spans="1:8">
      <c r="A64" s="158">
        <v>45534</v>
      </c>
      <c r="B64" s="159" t="s">
        <v>553</v>
      </c>
      <c r="C64" s="159" t="s">
        <v>144</v>
      </c>
      <c r="D64" s="163">
        <v>3</v>
      </c>
      <c r="E64" s="163">
        <v>3</v>
      </c>
      <c r="F64" s="161" t="s">
        <v>486</v>
      </c>
      <c r="G64" s="162" t="s">
        <v>564</v>
      </c>
      <c r="H64" s="175" t="str">
        <f>_xlfn.XLOOKUP(C64,'TTB Reporting'!D:D,'TTB Reporting'!J:J,FALSE)</f>
        <v>WHK 75-15-00-10</v>
      </c>
    </row>
    <row r="65" spans="1:8">
      <c r="A65" s="158">
        <v>45537</v>
      </c>
      <c r="B65" s="159" t="s">
        <v>530</v>
      </c>
      <c r="C65" s="159" t="s">
        <v>146</v>
      </c>
      <c r="D65" s="163">
        <v>3</v>
      </c>
      <c r="E65" s="163">
        <v>4</v>
      </c>
      <c r="F65" s="161" t="s">
        <v>483</v>
      </c>
      <c r="G65" s="162" t="s">
        <v>566</v>
      </c>
      <c r="H65" s="175" t="str">
        <f>_xlfn.XLOOKUP(C65,'TTB Reporting'!D:D,'TTB Reporting'!J:J,FALSE)</f>
        <v>LQD 75-21-00-04</v>
      </c>
    </row>
    <row r="66" spans="1:8">
      <c r="A66" s="158">
        <v>45537</v>
      </c>
      <c r="B66" s="159" t="s">
        <v>530</v>
      </c>
      <c r="C66" s="159" t="s">
        <v>146</v>
      </c>
      <c r="D66" s="163">
        <v>3</v>
      </c>
      <c r="E66" s="163">
        <v>3</v>
      </c>
      <c r="F66" s="161" t="s">
        <v>486</v>
      </c>
      <c r="G66" s="162" t="s">
        <v>567</v>
      </c>
      <c r="H66" s="175" t="str">
        <f>_xlfn.XLOOKUP(C66,'TTB Reporting'!D:D,'TTB Reporting'!J:J,FALSE)</f>
        <v>LQD 75-21-00-04</v>
      </c>
    </row>
    <row r="67" spans="1:8">
      <c r="A67" s="158">
        <v>45534</v>
      </c>
      <c r="B67" s="159" t="s">
        <v>560</v>
      </c>
      <c r="C67" s="159" t="s">
        <v>136</v>
      </c>
      <c r="D67" s="163">
        <v>3</v>
      </c>
      <c r="E67" s="163">
        <v>3</v>
      </c>
      <c r="F67" s="161" t="s">
        <v>483</v>
      </c>
      <c r="G67" s="162" t="s">
        <v>568</v>
      </c>
      <c r="H67" s="175" t="str">
        <f>_xlfn.XLOOKUP(C67,'TTB Reporting'!D:D,'TTB Reporting'!J:J,FALSE)</f>
        <v>BHK 00-95-00-05</v>
      </c>
    </row>
    <row r="68" spans="1:8">
      <c r="A68" s="158">
        <v>45534</v>
      </c>
      <c r="B68" s="159" t="s">
        <v>560</v>
      </c>
      <c r="C68" s="159" t="s">
        <v>136</v>
      </c>
      <c r="D68" s="163">
        <v>3</v>
      </c>
      <c r="E68" s="163">
        <v>3</v>
      </c>
      <c r="F68" s="161" t="s">
        <v>486</v>
      </c>
      <c r="G68" s="162" t="s">
        <v>569</v>
      </c>
      <c r="H68" s="175" t="str">
        <f>_xlfn.XLOOKUP(C68,'TTB Reporting'!D:D,'TTB Reporting'!J:J,FALSE)</f>
        <v>BHK 00-95-00-05</v>
      </c>
    </row>
    <row r="69" spans="1:8">
      <c r="A69" s="158">
        <v>45537</v>
      </c>
      <c r="B69" s="159" t="s">
        <v>530</v>
      </c>
      <c r="C69" s="159" t="s">
        <v>149</v>
      </c>
      <c r="D69" s="163">
        <v>3</v>
      </c>
      <c r="E69" s="163">
        <v>4</v>
      </c>
      <c r="F69" s="161" t="s">
        <v>483</v>
      </c>
      <c r="G69" s="162" t="s">
        <v>570</v>
      </c>
      <c r="H69" t="str">
        <f>_xlfn.XLOOKUP(C69,'TTB Reporting'!D:D,'TTB Reporting'!J:J,FALSE)</f>
        <v>LQD 75-21-00-04</v>
      </c>
    </row>
    <row r="70" spans="1:8">
      <c r="A70" s="158">
        <v>45537</v>
      </c>
      <c r="B70" s="159" t="s">
        <v>530</v>
      </c>
      <c r="C70" s="159" t="s">
        <v>149</v>
      </c>
      <c r="D70" s="163">
        <v>3</v>
      </c>
      <c r="E70" s="163">
        <v>4</v>
      </c>
      <c r="F70" s="161" t="s">
        <v>486</v>
      </c>
      <c r="G70" s="162" t="s">
        <v>571</v>
      </c>
      <c r="H70" t="str">
        <f>_xlfn.XLOOKUP(C70,'TTB Reporting'!D:D,'TTB Reporting'!J:J,FALSE)</f>
        <v>LQD 75-21-00-04</v>
      </c>
    </row>
    <row r="71" spans="1:8">
      <c r="A71" s="158">
        <v>45537</v>
      </c>
      <c r="B71" s="159" t="s">
        <v>530</v>
      </c>
      <c r="C71" s="159" t="s">
        <v>151</v>
      </c>
      <c r="D71" s="163">
        <v>4</v>
      </c>
      <c r="E71" s="163">
        <v>4</v>
      </c>
      <c r="F71" s="161" t="s">
        <v>483</v>
      </c>
      <c r="G71" s="162" t="s">
        <v>572</v>
      </c>
      <c r="H71" t="str">
        <f>_xlfn.XLOOKUP(C71,'TTB Reporting'!D:D,'TTB Reporting'!J:J,FALSE)</f>
        <v>LQD 60-36-00-04</v>
      </c>
    </row>
    <row r="72" spans="1:8">
      <c r="A72" s="158">
        <v>45537</v>
      </c>
      <c r="B72" s="159" t="s">
        <v>530</v>
      </c>
      <c r="C72" s="159" t="s">
        <v>151</v>
      </c>
      <c r="D72" s="163">
        <v>4</v>
      </c>
      <c r="E72" s="163">
        <v>4</v>
      </c>
      <c r="F72" s="161" t="s">
        <v>486</v>
      </c>
      <c r="G72" s="162" t="s">
        <v>573</v>
      </c>
      <c r="H72" t="str">
        <f>_xlfn.XLOOKUP(C72,'TTB Reporting'!D:D,'TTB Reporting'!J:J,FALSE)</f>
        <v>LQD 60-36-00-04</v>
      </c>
    </row>
    <row r="73" spans="1:8">
      <c r="A73" s="158">
        <v>45538</v>
      </c>
      <c r="B73" s="159" t="s">
        <v>530</v>
      </c>
      <c r="C73" s="159" t="s">
        <v>152</v>
      </c>
      <c r="D73" s="163">
        <v>4</v>
      </c>
      <c r="E73" s="163">
        <v>4</v>
      </c>
      <c r="F73" s="161" t="s">
        <v>483</v>
      </c>
      <c r="G73" s="162" t="s">
        <v>574</v>
      </c>
      <c r="H73" t="str">
        <f>_xlfn.XLOOKUP(C73,'TTB Reporting'!D:D,'TTB Reporting'!J:J,FALSE)</f>
        <v>LQD 60-36-00-04</v>
      </c>
    </row>
    <row r="74" spans="1:8">
      <c r="A74" s="158">
        <v>45538</v>
      </c>
      <c r="B74" s="159" t="s">
        <v>530</v>
      </c>
      <c r="C74" s="159" t="s">
        <v>152</v>
      </c>
      <c r="D74" s="163">
        <v>4</v>
      </c>
      <c r="E74" s="163">
        <v>4</v>
      </c>
      <c r="F74" s="161" t="s">
        <v>486</v>
      </c>
      <c r="G74" s="162" t="s">
        <v>575</v>
      </c>
      <c r="H74" t="str">
        <f>_xlfn.XLOOKUP(C74,'TTB Reporting'!D:D,'TTB Reporting'!J:J,FALSE)</f>
        <v>LQD 60-36-00-04</v>
      </c>
    </row>
    <row r="75" spans="1:8">
      <c r="A75" s="158">
        <v>45539</v>
      </c>
      <c r="B75" s="159" t="s">
        <v>560</v>
      </c>
      <c r="C75" s="159" t="s">
        <v>162</v>
      </c>
      <c r="D75" s="163">
        <v>3</v>
      </c>
      <c r="E75" s="163">
        <v>4</v>
      </c>
      <c r="F75" s="161" t="s">
        <v>483</v>
      </c>
      <c r="G75" s="162" t="s">
        <v>576</v>
      </c>
      <c r="H75" t="str">
        <f>_xlfn.XLOOKUP(C75,'TTB Reporting'!D:D,'TTB Reporting'!J:J,FALSE)</f>
        <v>BHK 72-00-18-10</v>
      </c>
    </row>
    <row r="76" spans="1:8">
      <c r="A76" s="158">
        <v>45539</v>
      </c>
      <c r="B76" s="159" t="s">
        <v>560</v>
      </c>
      <c r="C76" s="159" t="s">
        <v>162</v>
      </c>
      <c r="D76" s="163">
        <v>4</v>
      </c>
      <c r="E76" s="163">
        <v>4</v>
      </c>
      <c r="F76" s="161" t="s">
        <v>486</v>
      </c>
      <c r="G76" s="162" t="s">
        <v>577</v>
      </c>
      <c r="H76" t="str">
        <f>_xlfn.XLOOKUP(C76,'TTB Reporting'!D:D,'TTB Reporting'!J:J,FALSE)</f>
        <v>BHK 72-00-18-10</v>
      </c>
    </row>
    <row r="77" spans="1:8">
      <c r="A77" s="158">
        <v>45539</v>
      </c>
      <c r="B77" s="159" t="s">
        <v>530</v>
      </c>
      <c r="C77" s="159" t="s">
        <v>156</v>
      </c>
      <c r="D77" s="163">
        <v>4</v>
      </c>
      <c r="E77" s="163">
        <v>4</v>
      </c>
      <c r="F77" s="161" t="s">
        <v>483</v>
      </c>
      <c r="G77" s="162" t="s">
        <v>578</v>
      </c>
      <c r="H77" t="str">
        <f>_xlfn.XLOOKUP(C77,'TTB Reporting'!D:D,'TTB Reporting'!J:J,FALSE)</f>
        <v>LQD 60-00-36-04</v>
      </c>
    </row>
    <row r="78" spans="1:8">
      <c r="A78" s="158">
        <v>45539</v>
      </c>
      <c r="B78" s="159" t="s">
        <v>530</v>
      </c>
      <c r="C78" s="159" t="s">
        <v>156</v>
      </c>
      <c r="D78" s="163">
        <v>5</v>
      </c>
      <c r="E78" s="163">
        <v>5</v>
      </c>
      <c r="F78" s="161" t="s">
        <v>486</v>
      </c>
      <c r="G78" s="162" t="s">
        <v>579</v>
      </c>
      <c r="H78" t="str">
        <f>_xlfn.XLOOKUP(C78,'TTB Reporting'!D:D,'TTB Reporting'!J:J,FALSE)</f>
        <v>LQD 60-00-36-04</v>
      </c>
    </row>
    <row r="79" spans="1:8">
      <c r="A79" s="158">
        <v>45538</v>
      </c>
      <c r="B79" s="159" t="s">
        <v>530</v>
      </c>
      <c r="C79" s="159" t="s">
        <v>153</v>
      </c>
      <c r="D79" s="163">
        <v>4</v>
      </c>
      <c r="E79" s="163">
        <v>4</v>
      </c>
      <c r="F79" s="161" t="s">
        <v>483</v>
      </c>
      <c r="G79" s="162" t="s">
        <v>580</v>
      </c>
      <c r="H79" t="str">
        <f>_xlfn.XLOOKUP(C79,'TTB Reporting'!D:D,'TTB Reporting'!J:J,FALSE)</f>
        <v>LQD 60-36-00-04</v>
      </c>
    </row>
    <row r="80" spans="1:8">
      <c r="A80" s="158">
        <v>45538</v>
      </c>
      <c r="B80" s="159" t="s">
        <v>530</v>
      </c>
      <c r="C80" s="159" t="s">
        <v>153</v>
      </c>
      <c r="D80" s="163">
        <v>4</v>
      </c>
      <c r="E80" s="163">
        <v>5</v>
      </c>
      <c r="F80" s="161" t="s">
        <v>486</v>
      </c>
      <c r="G80" s="162" t="s">
        <v>581</v>
      </c>
      <c r="H80" t="str">
        <f>_xlfn.XLOOKUP(C80,'TTB Reporting'!D:D,'TTB Reporting'!J:J,FALSE)</f>
        <v>LQD 60-36-00-04</v>
      </c>
    </row>
    <row r="81" spans="1:8">
      <c r="A81" s="158">
        <v>45538</v>
      </c>
      <c r="B81" s="159" t="s">
        <v>530</v>
      </c>
      <c r="C81" s="159" t="s">
        <v>154</v>
      </c>
      <c r="D81" s="163">
        <v>4</v>
      </c>
      <c r="E81" s="163">
        <v>4</v>
      </c>
      <c r="F81" s="161" t="s">
        <v>483</v>
      </c>
      <c r="G81" s="162" t="s">
        <v>582</v>
      </c>
      <c r="H81" t="str">
        <f>_xlfn.XLOOKUP(C81,'TTB Reporting'!D:D,'TTB Reporting'!J:J,FALSE)</f>
        <v>LQD 60-36-00-04</v>
      </c>
    </row>
    <row r="82" spans="1:8">
      <c r="A82" s="158">
        <v>45538</v>
      </c>
      <c r="B82" s="159" t="s">
        <v>530</v>
      </c>
      <c r="C82" s="159" t="s">
        <v>154</v>
      </c>
      <c r="D82" s="163">
        <v>5</v>
      </c>
      <c r="E82" s="163">
        <v>5</v>
      </c>
      <c r="F82" s="161" t="s">
        <v>486</v>
      </c>
      <c r="G82" s="162" t="s">
        <v>583</v>
      </c>
      <c r="H82" t="str">
        <f>_xlfn.XLOOKUP(C82,'TTB Reporting'!D:D,'TTB Reporting'!J:J,FALSE)</f>
        <v>LQD 60-36-00-04</v>
      </c>
    </row>
    <row r="83" spans="1:8">
      <c r="A83" s="158">
        <v>45540</v>
      </c>
      <c r="B83" s="159" t="s">
        <v>553</v>
      </c>
      <c r="C83" s="159" t="s">
        <v>160</v>
      </c>
      <c r="D83" s="163">
        <v>3</v>
      </c>
      <c r="E83" s="163">
        <v>3</v>
      </c>
      <c r="F83" s="161" t="s">
        <v>483</v>
      </c>
      <c r="G83" s="162" t="s">
        <v>584</v>
      </c>
      <c r="H83" s="175" t="str">
        <f>_xlfn.XLOOKUP(C83,'TTB Reporting'!D:D,'TTB Reporting'!J:J,FALSE)</f>
        <v>LQD 60-00-36-04</v>
      </c>
    </row>
    <row r="84" spans="1:8">
      <c r="A84" s="158">
        <v>45540</v>
      </c>
      <c r="B84" s="159" t="s">
        <v>553</v>
      </c>
      <c r="C84" s="159" t="s">
        <v>160</v>
      </c>
      <c r="D84" s="163">
        <v>3</v>
      </c>
      <c r="E84" s="163">
        <v>3</v>
      </c>
      <c r="F84" s="161" t="s">
        <v>486</v>
      </c>
      <c r="G84" s="162" t="s">
        <v>585</v>
      </c>
      <c r="H84" s="175" t="str">
        <f>_xlfn.XLOOKUP(C84,'TTB Reporting'!D:D,'TTB Reporting'!J:J,FALSE)</f>
        <v>LQD 60-00-36-04</v>
      </c>
    </row>
    <row r="85" spans="1:8">
      <c r="A85" s="158">
        <v>45540</v>
      </c>
      <c r="B85" s="159" t="s">
        <v>586</v>
      </c>
      <c r="C85" s="159" t="s">
        <v>164</v>
      </c>
      <c r="D85" s="163">
        <v>3</v>
      </c>
      <c r="E85" s="163">
        <v>4</v>
      </c>
      <c r="F85" s="161" t="s">
        <v>483</v>
      </c>
      <c r="G85" s="162" t="s">
        <v>587</v>
      </c>
      <c r="H85" t="str">
        <f>_xlfn.XLOOKUP(C85,'TTB Reporting'!D:D,'TTB Reporting'!J:J,FALSE)</f>
        <v>ABT 74-00-18-08</v>
      </c>
    </row>
    <row r="86" spans="1:8">
      <c r="A86" s="158">
        <v>45540</v>
      </c>
      <c r="B86" s="159" t="s">
        <v>586</v>
      </c>
      <c r="C86" s="159" t="s">
        <v>164</v>
      </c>
      <c r="D86" s="163">
        <v>3</v>
      </c>
      <c r="E86" s="163">
        <v>3</v>
      </c>
      <c r="F86" s="161" t="s">
        <v>486</v>
      </c>
      <c r="G86" s="162" t="s">
        <v>588</v>
      </c>
      <c r="H86" s="175" t="str">
        <f>_xlfn.XLOOKUP(C86,'TTB Reporting'!D:D,'TTB Reporting'!J:J,FALSE)</f>
        <v>ABT 74-00-18-08</v>
      </c>
    </row>
    <row r="87" spans="1:8">
      <c r="A87" s="158">
        <v>45540</v>
      </c>
      <c r="B87" s="159" t="s">
        <v>530</v>
      </c>
      <c r="C87" s="159" t="s">
        <v>159</v>
      </c>
      <c r="D87" s="163">
        <v>4</v>
      </c>
      <c r="E87" s="163">
        <v>4</v>
      </c>
      <c r="F87" s="161" t="s">
        <v>483</v>
      </c>
      <c r="G87" s="162" t="s">
        <v>589</v>
      </c>
      <c r="H87" t="str">
        <f>_xlfn.XLOOKUP(C87,'TTB Reporting'!D:D,'TTB Reporting'!J:J,FALSE)</f>
        <v>LQD 60-00-36-04</v>
      </c>
    </row>
    <row r="88" spans="1:8">
      <c r="A88" s="158">
        <v>45540</v>
      </c>
      <c r="B88" s="159" t="s">
        <v>530</v>
      </c>
      <c r="C88" s="159" t="s">
        <v>159</v>
      </c>
      <c r="D88" s="163">
        <v>3</v>
      </c>
      <c r="E88" s="163">
        <v>3</v>
      </c>
      <c r="F88" s="161" t="s">
        <v>486</v>
      </c>
      <c r="G88" s="162" t="s">
        <v>585</v>
      </c>
      <c r="H88" s="175" t="str">
        <f>_xlfn.XLOOKUP(C88,'TTB Reporting'!D:D,'TTB Reporting'!J:J,FALSE)</f>
        <v>LQD 60-00-36-04</v>
      </c>
    </row>
    <row r="89" spans="1:8">
      <c r="A89" s="158">
        <v>45539</v>
      </c>
      <c r="B89" s="159" t="s">
        <v>530</v>
      </c>
      <c r="C89" s="159" t="s">
        <v>158</v>
      </c>
      <c r="D89" s="163">
        <v>3</v>
      </c>
      <c r="E89" s="163">
        <v>3</v>
      </c>
      <c r="F89" s="161" t="s">
        <v>483</v>
      </c>
      <c r="G89" s="162" t="s">
        <v>590</v>
      </c>
      <c r="H89" s="175" t="str">
        <f>_xlfn.XLOOKUP(C89,'TTB Reporting'!D:D,'TTB Reporting'!J:J,FALSE)</f>
        <v>LQD 60-00-36-04</v>
      </c>
    </row>
    <row r="90" spans="1:8">
      <c r="A90" s="158">
        <v>45539</v>
      </c>
      <c r="B90" s="159" t="s">
        <v>530</v>
      </c>
      <c r="C90" s="159" t="s">
        <v>158</v>
      </c>
      <c r="D90" s="163">
        <v>3</v>
      </c>
      <c r="E90" s="163">
        <v>3</v>
      </c>
      <c r="F90" s="161" t="s">
        <v>486</v>
      </c>
      <c r="G90" s="162" t="s">
        <v>591</v>
      </c>
      <c r="H90" s="175" t="str">
        <f>_xlfn.XLOOKUP(C90,'TTB Reporting'!D:D,'TTB Reporting'!J:J,FALSE)</f>
        <v>LQD 60-00-36-04</v>
      </c>
    </row>
    <row r="91" spans="1:8">
      <c r="A91" s="158">
        <v>45544</v>
      </c>
      <c r="B91" s="159" t="s">
        <v>586</v>
      </c>
      <c r="C91" s="159" t="s">
        <v>166</v>
      </c>
      <c r="D91" s="163">
        <v>4</v>
      </c>
      <c r="E91" s="163">
        <v>4</v>
      </c>
      <c r="F91" s="161" t="s">
        <v>483</v>
      </c>
      <c r="G91" s="162" t="s">
        <v>592</v>
      </c>
      <c r="H91" t="str">
        <f>_xlfn.XLOOKUP(C91,'TTB Reporting'!D:D,'TTB Reporting'!J:J,FALSE)</f>
        <v>ABT 74-00-18-08</v>
      </c>
    </row>
    <row r="92" spans="1:8">
      <c r="A92" s="158">
        <v>45544</v>
      </c>
      <c r="B92" s="159" t="s">
        <v>586</v>
      </c>
      <c r="C92" s="159" t="s">
        <v>166</v>
      </c>
      <c r="D92" s="163">
        <v>4</v>
      </c>
      <c r="E92" s="163">
        <v>4</v>
      </c>
      <c r="F92" s="161" t="s">
        <v>486</v>
      </c>
      <c r="G92" s="162" t="s">
        <v>593</v>
      </c>
      <c r="H92" t="str">
        <f>_xlfn.XLOOKUP(C92,'TTB Reporting'!D:D,'TTB Reporting'!J:J,FALSE)</f>
        <v>ABT 74-00-18-08</v>
      </c>
    </row>
    <row r="93" spans="1:8">
      <c r="A93" s="158">
        <v>45544</v>
      </c>
      <c r="B93" s="159" t="s">
        <v>586</v>
      </c>
      <c r="C93" s="159" t="s">
        <v>165</v>
      </c>
      <c r="D93" s="163">
        <v>4</v>
      </c>
      <c r="E93" s="163">
        <v>4</v>
      </c>
      <c r="F93" s="161" t="s">
        <v>483</v>
      </c>
      <c r="G93" s="162" t="s">
        <v>594</v>
      </c>
      <c r="H93" t="str">
        <f>_xlfn.XLOOKUP(C93,'TTB Reporting'!D:D,'TTB Reporting'!J:J,FALSE)</f>
        <v>ABT 74-00-18-08</v>
      </c>
    </row>
    <row r="94" spans="1:8">
      <c r="A94" s="158">
        <v>45544</v>
      </c>
      <c r="B94" s="159" t="s">
        <v>586</v>
      </c>
      <c r="C94" s="159" t="s">
        <v>165</v>
      </c>
      <c r="D94" s="163">
        <v>5</v>
      </c>
      <c r="E94" s="163">
        <v>4</v>
      </c>
      <c r="F94" s="161" t="s">
        <v>486</v>
      </c>
      <c r="G94" s="162" t="s">
        <v>595</v>
      </c>
      <c r="H94" t="str">
        <f>_xlfn.XLOOKUP(C94,'TTB Reporting'!D:D,'TTB Reporting'!J:J,FALSE)</f>
        <v>ABT 74-00-18-08</v>
      </c>
    </row>
    <row r="95" spans="1:8">
      <c r="A95" s="158">
        <v>45544</v>
      </c>
      <c r="B95" s="159" t="s">
        <v>586</v>
      </c>
      <c r="C95" s="159" t="s">
        <v>168</v>
      </c>
      <c r="D95" s="163">
        <v>4</v>
      </c>
      <c r="E95" s="163">
        <v>5</v>
      </c>
      <c r="F95" s="161" t="s">
        <v>483</v>
      </c>
      <c r="G95" s="162" t="s">
        <v>596</v>
      </c>
      <c r="H95" t="str">
        <f>_xlfn.XLOOKUP(C95,'TTB Reporting'!D:D,'TTB Reporting'!J:J,FALSE)</f>
        <v>ABT 70-21-00-09</v>
      </c>
    </row>
    <row r="96" spans="1:8">
      <c r="A96" s="158">
        <v>45544</v>
      </c>
      <c r="B96" s="159" t="s">
        <v>586</v>
      </c>
      <c r="C96" s="159" t="s">
        <v>168</v>
      </c>
      <c r="D96" s="163">
        <v>3</v>
      </c>
      <c r="E96" s="163">
        <v>4</v>
      </c>
      <c r="F96" s="161" t="s">
        <v>486</v>
      </c>
      <c r="G96" s="162" t="s">
        <v>597</v>
      </c>
      <c r="H96" t="str">
        <f>_xlfn.XLOOKUP(C96,'TTB Reporting'!D:D,'TTB Reporting'!J:J,FALSE)</f>
        <v>ABT 70-21-00-09</v>
      </c>
    </row>
    <row r="97" spans="1:8">
      <c r="A97" s="158">
        <v>45545</v>
      </c>
      <c r="B97" s="159" t="s">
        <v>586</v>
      </c>
      <c r="C97" s="159" t="s">
        <v>170</v>
      </c>
      <c r="D97" s="163">
        <v>4</v>
      </c>
      <c r="E97" s="163">
        <v>4</v>
      </c>
      <c r="F97" s="161" t="s">
        <v>483</v>
      </c>
      <c r="G97" s="162" t="s">
        <v>598</v>
      </c>
      <c r="H97" t="str">
        <f>_xlfn.XLOOKUP(C97,'TTB Reporting'!D:D,'TTB Reporting'!J:J,FALSE)</f>
        <v>ABT 70-21-00-09</v>
      </c>
    </row>
    <row r="98" spans="1:8">
      <c r="A98" s="158">
        <v>45545</v>
      </c>
      <c r="B98" s="159" t="s">
        <v>586</v>
      </c>
      <c r="C98" s="159" t="s">
        <v>170</v>
      </c>
      <c r="D98" s="163">
        <v>4</v>
      </c>
      <c r="E98" s="163">
        <v>4</v>
      </c>
      <c r="F98" s="161" t="s">
        <v>486</v>
      </c>
      <c r="G98" s="162" t="s">
        <v>599</v>
      </c>
      <c r="H98" t="str">
        <f>_xlfn.XLOOKUP(C98,'TTB Reporting'!D:D,'TTB Reporting'!J:J,FALSE)</f>
        <v>ABT 70-21-00-09</v>
      </c>
    </row>
    <row r="99" spans="1:8">
      <c r="A99" s="158">
        <v>45545</v>
      </c>
      <c r="B99" s="159" t="s">
        <v>586</v>
      </c>
      <c r="C99" s="159" t="s">
        <v>171</v>
      </c>
      <c r="D99" s="163">
        <v>4</v>
      </c>
      <c r="E99" s="163">
        <v>4</v>
      </c>
      <c r="F99" s="161" t="s">
        <v>483</v>
      </c>
      <c r="G99" s="162" t="s">
        <v>600</v>
      </c>
      <c r="H99" t="str">
        <f>_xlfn.XLOOKUP(C99,'TTB Reporting'!D:D,'TTB Reporting'!J:J,FALSE)</f>
        <v>ABT 70-21-00-09</v>
      </c>
    </row>
    <row r="100" spans="1:8">
      <c r="A100" s="158">
        <v>45545</v>
      </c>
      <c r="B100" s="159" t="s">
        <v>586</v>
      </c>
      <c r="C100" s="159" t="s">
        <v>171</v>
      </c>
      <c r="D100" s="163">
        <v>4</v>
      </c>
      <c r="E100" s="163">
        <v>4</v>
      </c>
      <c r="F100" s="161" t="s">
        <v>486</v>
      </c>
      <c r="G100" s="162" t="s">
        <v>599</v>
      </c>
      <c r="H100" t="str">
        <f>_xlfn.XLOOKUP(C100,'TTB Reporting'!D:D,'TTB Reporting'!J:J,FALSE)</f>
        <v>ABT 70-21-00-09</v>
      </c>
    </row>
    <row r="101" spans="1:8">
      <c r="A101" s="158">
        <v>45545</v>
      </c>
      <c r="B101" s="159" t="s">
        <v>586</v>
      </c>
      <c r="C101" s="159" t="s">
        <v>172</v>
      </c>
      <c r="D101" s="163">
        <v>4</v>
      </c>
      <c r="E101" s="163">
        <v>4</v>
      </c>
      <c r="F101" s="161" t="s">
        <v>483</v>
      </c>
      <c r="G101" s="162" t="s">
        <v>601</v>
      </c>
      <c r="H101" t="str">
        <f>_xlfn.XLOOKUP(C101,'TTB Reporting'!D:D,'TTB Reporting'!J:J,FALSE)</f>
        <v>ABT 70-21-00-09</v>
      </c>
    </row>
    <row r="102" spans="1:8">
      <c r="A102" s="158">
        <v>45545</v>
      </c>
      <c r="B102" s="159" t="s">
        <v>586</v>
      </c>
      <c r="C102" s="159" t="s">
        <v>172</v>
      </c>
      <c r="D102" s="163">
        <v>5</v>
      </c>
      <c r="E102" s="163">
        <v>5</v>
      </c>
      <c r="F102" s="161" t="s">
        <v>486</v>
      </c>
      <c r="G102" s="162" t="s">
        <v>602</v>
      </c>
      <c r="H102" t="str">
        <f>_xlfn.XLOOKUP(C102,'TTB Reporting'!D:D,'TTB Reporting'!J:J,FALSE)</f>
        <v>ABT 70-21-00-09</v>
      </c>
    </row>
    <row r="103" spans="1:8">
      <c r="A103" s="158">
        <v>45546</v>
      </c>
      <c r="B103" s="159" t="s">
        <v>586</v>
      </c>
      <c r="C103" s="159" t="s">
        <v>220</v>
      </c>
      <c r="D103" s="163">
        <v>4</v>
      </c>
      <c r="E103" s="163">
        <v>5</v>
      </c>
      <c r="F103" s="161" t="s">
        <v>483</v>
      </c>
      <c r="G103" s="162" t="s">
        <v>598</v>
      </c>
      <c r="H103" t="str">
        <f>_xlfn.XLOOKUP(C103,'TTB Reporting'!D:D,'TTB Reporting'!J:J,FALSE)</f>
        <v>WHK 70-21-00-09</v>
      </c>
    </row>
    <row r="104" spans="1:8">
      <c r="A104" s="158">
        <v>45546</v>
      </c>
      <c r="B104" s="159" t="s">
        <v>586</v>
      </c>
      <c r="C104" s="159" t="s">
        <v>220</v>
      </c>
      <c r="D104" s="163">
        <v>5</v>
      </c>
      <c r="E104" s="163">
        <v>5</v>
      </c>
      <c r="F104" s="161" t="s">
        <v>486</v>
      </c>
      <c r="G104" s="162" t="s">
        <v>603</v>
      </c>
      <c r="H104" t="str">
        <f>_xlfn.XLOOKUP(C104,'TTB Reporting'!D:D,'TTB Reporting'!J:J,FALSE)</f>
        <v>WHK 70-21-00-09</v>
      </c>
    </row>
    <row r="105" spans="1:8">
      <c r="A105" s="158">
        <v>45546</v>
      </c>
      <c r="B105" s="159" t="s">
        <v>586</v>
      </c>
      <c r="C105" s="159" t="s">
        <v>174</v>
      </c>
      <c r="D105" s="163">
        <v>4</v>
      </c>
      <c r="E105" s="163">
        <v>4</v>
      </c>
      <c r="F105" s="161" t="s">
        <v>483</v>
      </c>
      <c r="G105" s="162" t="s">
        <v>604</v>
      </c>
      <c r="H105" t="str">
        <f>_xlfn.XLOOKUP(C105,'TTB Reporting'!D:D,'TTB Reporting'!J:J,FALSE)</f>
        <v>ABT 74-18-00-08</v>
      </c>
    </row>
    <row r="106" spans="1:8">
      <c r="A106" s="158">
        <v>45546</v>
      </c>
      <c r="B106" s="159" t="s">
        <v>586</v>
      </c>
      <c r="C106" s="159" t="s">
        <v>174</v>
      </c>
      <c r="D106" s="163">
        <v>4</v>
      </c>
      <c r="E106" s="163">
        <v>4</v>
      </c>
      <c r="F106" s="161" t="s">
        <v>486</v>
      </c>
      <c r="G106" s="162" t="s">
        <v>605</v>
      </c>
      <c r="H106" t="str">
        <f>_xlfn.XLOOKUP(C106,'TTB Reporting'!D:D,'TTB Reporting'!J:J,FALSE)</f>
        <v>ABT 74-18-00-08</v>
      </c>
    </row>
    <row r="107" spans="1:8">
      <c r="A107" s="158">
        <v>45551</v>
      </c>
      <c r="B107" s="159" t="s">
        <v>586</v>
      </c>
      <c r="C107" s="159" t="s">
        <v>176</v>
      </c>
      <c r="D107" s="163">
        <v>4</v>
      </c>
      <c r="E107" s="163">
        <v>5</v>
      </c>
      <c r="F107" s="161" t="s">
        <v>483</v>
      </c>
      <c r="G107" s="162" t="s">
        <v>606</v>
      </c>
      <c r="H107" t="str">
        <f>_xlfn.XLOOKUP(C107,'TTB Reporting'!D:D,'TTB Reporting'!J:J,FALSE)</f>
        <v>ABT 74-18-00-08</v>
      </c>
    </row>
    <row r="108" spans="1:8">
      <c r="A108" s="158">
        <v>45551</v>
      </c>
      <c r="B108" s="159" t="s">
        <v>586</v>
      </c>
      <c r="C108" s="159" t="s">
        <v>176</v>
      </c>
      <c r="D108" s="163">
        <v>5</v>
      </c>
      <c r="E108" s="163">
        <v>5</v>
      </c>
      <c r="F108" s="161" t="s">
        <v>486</v>
      </c>
      <c r="G108" s="162" t="s">
        <v>607</v>
      </c>
      <c r="H108" t="str">
        <f>_xlfn.XLOOKUP(C108,'TTB Reporting'!D:D,'TTB Reporting'!J:J,FALSE)</f>
        <v>ABT 74-18-00-08</v>
      </c>
    </row>
    <row r="109" spans="1:8">
      <c r="A109" s="158">
        <v>45551</v>
      </c>
      <c r="B109" s="159" t="s">
        <v>586</v>
      </c>
      <c r="C109" s="159" t="s">
        <v>177</v>
      </c>
      <c r="D109" s="163">
        <v>4</v>
      </c>
      <c r="E109" s="163">
        <v>4</v>
      </c>
      <c r="F109" s="161" t="s">
        <v>483</v>
      </c>
      <c r="G109" s="162" t="s">
        <v>608</v>
      </c>
      <c r="H109" t="str">
        <f>_xlfn.XLOOKUP(C109,'TTB Reporting'!D:D,'TTB Reporting'!J:J,FALSE)</f>
        <v>ABT 74-18-00-08</v>
      </c>
    </row>
    <row r="110" spans="1:8">
      <c r="A110" s="158">
        <v>45551</v>
      </c>
      <c r="B110" s="159" t="s">
        <v>586</v>
      </c>
      <c r="C110" s="159" t="s">
        <v>177</v>
      </c>
      <c r="D110" s="163">
        <v>4</v>
      </c>
      <c r="E110" s="163">
        <v>4</v>
      </c>
      <c r="F110" s="161" t="s">
        <v>486</v>
      </c>
      <c r="G110" s="162" t="s">
        <v>609</v>
      </c>
      <c r="H110" t="str">
        <f>_xlfn.XLOOKUP(C110,'TTB Reporting'!D:D,'TTB Reporting'!J:J,FALSE)</f>
        <v>ABT 74-18-00-08</v>
      </c>
    </row>
    <row r="111" spans="1:8">
      <c r="A111" s="158">
        <v>45552</v>
      </c>
      <c r="B111" s="159" t="s">
        <v>586</v>
      </c>
      <c r="C111" s="159" t="s">
        <v>179</v>
      </c>
      <c r="D111" s="163">
        <v>4</v>
      </c>
      <c r="E111" s="163">
        <v>4</v>
      </c>
      <c r="F111" s="161" t="s">
        <v>483</v>
      </c>
      <c r="G111" s="162" t="s">
        <v>610</v>
      </c>
      <c r="H111" t="str">
        <f>_xlfn.XLOOKUP(C111,'TTB Reporting'!D:D,'TTB Reporting'!J:J,FALSE)</f>
        <v>ABT 74-18-00-08</v>
      </c>
    </row>
    <row r="112" spans="1:8">
      <c r="A112" s="158">
        <v>45552</v>
      </c>
      <c r="B112" s="159" t="s">
        <v>586</v>
      </c>
      <c r="C112" s="159" t="s">
        <v>179</v>
      </c>
      <c r="D112" s="163">
        <v>4</v>
      </c>
      <c r="E112" s="163">
        <v>4</v>
      </c>
      <c r="F112" s="161" t="s">
        <v>486</v>
      </c>
      <c r="G112" s="162" t="s">
        <v>611</v>
      </c>
      <c r="H112" t="str">
        <f>_xlfn.XLOOKUP(C112,'TTB Reporting'!D:D,'TTB Reporting'!J:J,FALSE)</f>
        <v>ABT 74-18-00-08</v>
      </c>
    </row>
    <row r="113" spans="1:8">
      <c r="A113" s="158">
        <v>45552</v>
      </c>
      <c r="B113" s="159" t="s">
        <v>553</v>
      </c>
      <c r="C113" s="159" t="s">
        <v>221</v>
      </c>
      <c r="D113" s="163">
        <v>3</v>
      </c>
      <c r="E113" s="163">
        <v>4</v>
      </c>
      <c r="F113" s="161" t="s">
        <v>483</v>
      </c>
      <c r="G113" s="162" t="s">
        <v>612</v>
      </c>
      <c r="H113" t="str">
        <f>_xlfn.XLOOKUP(C113,'TTB Reporting'!D:D,'TTB Reporting'!J:J,FALSE)</f>
        <v>WHK 74-18-00-08</v>
      </c>
    </row>
    <row r="114" spans="1:8">
      <c r="A114" s="158">
        <v>45552</v>
      </c>
      <c r="B114" s="159" t="s">
        <v>553</v>
      </c>
      <c r="C114" s="159" t="s">
        <v>221</v>
      </c>
      <c r="D114" s="163">
        <v>4</v>
      </c>
      <c r="E114" s="163">
        <v>4</v>
      </c>
      <c r="F114" s="161" t="s">
        <v>486</v>
      </c>
      <c r="G114" s="162" t="s">
        <v>613</v>
      </c>
      <c r="H114" t="str">
        <f>_xlfn.XLOOKUP(C114,'TTB Reporting'!D:D,'TTB Reporting'!J:J,FALSE)</f>
        <v>WHK 74-18-00-08</v>
      </c>
    </row>
    <row r="115" spans="1:8">
      <c r="A115" s="158">
        <v>45552</v>
      </c>
      <c r="B115" s="159" t="s">
        <v>553</v>
      </c>
      <c r="C115" s="159" t="s">
        <v>222</v>
      </c>
      <c r="D115" s="163">
        <v>3</v>
      </c>
      <c r="E115" s="163">
        <v>3</v>
      </c>
      <c r="F115" s="161" t="s">
        <v>483</v>
      </c>
      <c r="G115" s="162" t="s">
        <v>614</v>
      </c>
      <c r="H115" s="175" t="str">
        <f>_xlfn.XLOOKUP(C115,'TTB Reporting'!D:D,'TTB Reporting'!J:J,FALSE)</f>
        <v>WHK 74-18-00-08</v>
      </c>
    </row>
    <row r="116" spans="1:8">
      <c r="A116" s="158">
        <v>45552</v>
      </c>
      <c r="B116" s="159" t="s">
        <v>553</v>
      </c>
      <c r="C116" s="159" t="s">
        <v>222</v>
      </c>
      <c r="D116" s="163">
        <v>3</v>
      </c>
      <c r="E116" s="163">
        <v>3</v>
      </c>
      <c r="F116" s="161" t="s">
        <v>486</v>
      </c>
      <c r="G116" s="162" t="s">
        <v>615</v>
      </c>
      <c r="H116" s="175" t="str">
        <f>_xlfn.XLOOKUP(C116,'TTB Reporting'!D:D,'TTB Reporting'!J:J,FALSE)</f>
        <v>WHK 74-18-00-08</v>
      </c>
    </row>
    <row r="117" spans="1:8">
      <c r="A117" s="158">
        <v>45552</v>
      </c>
      <c r="B117" s="159" t="s">
        <v>553</v>
      </c>
      <c r="C117" s="159" t="s">
        <v>181</v>
      </c>
      <c r="D117" s="163">
        <v>3</v>
      </c>
      <c r="E117" s="163">
        <v>3</v>
      </c>
      <c r="F117" s="161" t="s">
        <v>483</v>
      </c>
      <c r="G117" s="162" t="s">
        <v>614</v>
      </c>
      <c r="H117" s="175" t="str">
        <f>_xlfn.XLOOKUP(C117,'TTB Reporting'!D:D,'TTB Reporting'!J:J,FALSE)</f>
        <v>FDP 78-10-00-12</v>
      </c>
    </row>
    <row r="118" spans="1:8">
      <c r="A118" s="158">
        <v>45552</v>
      </c>
      <c r="B118" s="159" t="s">
        <v>553</v>
      </c>
      <c r="C118" s="159" t="s">
        <v>181</v>
      </c>
      <c r="D118" s="163">
        <v>3</v>
      </c>
      <c r="E118" s="163">
        <v>3</v>
      </c>
      <c r="F118" s="161" t="s">
        <v>486</v>
      </c>
      <c r="G118" s="162" t="s">
        <v>616</v>
      </c>
      <c r="H118" s="175" t="str">
        <f>_xlfn.XLOOKUP(C118,'TTB Reporting'!D:D,'TTB Reporting'!J:J,FALSE)</f>
        <v>FDP 78-10-00-12</v>
      </c>
    </row>
    <row r="119" spans="1:8">
      <c r="A119" s="158">
        <v>45552</v>
      </c>
      <c r="B119" s="159" t="s">
        <v>553</v>
      </c>
      <c r="C119" s="159" t="s">
        <v>224</v>
      </c>
      <c r="D119" s="163">
        <v>3</v>
      </c>
      <c r="E119" s="163">
        <v>3</v>
      </c>
      <c r="F119" s="161" t="s">
        <v>483</v>
      </c>
      <c r="G119" s="162" t="s">
        <v>614</v>
      </c>
      <c r="H119" s="175" t="str">
        <f>_xlfn.XLOOKUP(C119,'TTB Reporting'!D:D,'TTB Reporting'!J:J,FALSE)</f>
        <v>WHK 78-10-00-12</v>
      </c>
    </row>
    <row r="120" spans="1:8">
      <c r="A120" s="158">
        <v>45552</v>
      </c>
      <c r="B120" s="159" t="s">
        <v>553</v>
      </c>
      <c r="C120" s="159" t="s">
        <v>224</v>
      </c>
      <c r="D120" s="163">
        <v>3</v>
      </c>
      <c r="E120" s="163">
        <v>3</v>
      </c>
      <c r="F120" s="161" t="s">
        <v>486</v>
      </c>
      <c r="G120" s="162" t="s">
        <v>617</v>
      </c>
      <c r="H120" s="175" t="str">
        <f>_xlfn.XLOOKUP(C120,'TTB Reporting'!D:D,'TTB Reporting'!J:J,FALSE)</f>
        <v>WHK 78-10-00-12</v>
      </c>
    </row>
    <row r="121" spans="1:8">
      <c r="A121" s="158">
        <v>45554</v>
      </c>
      <c r="B121" s="159" t="s">
        <v>553</v>
      </c>
      <c r="C121" s="159" t="s">
        <v>182</v>
      </c>
      <c r="D121" s="163">
        <v>4</v>
      </c>
      <c r="E121" s="163">
        <v>4</v>
      </c>
      <c r="F121" s="161" t="s">
        <v>483</v>
      </c>
      <c r="G121" s="162" t="s">
        <v>618</v>
      </c>
      <c r="H121" s="175" t="str">
        <f>_xlfn.XLOOKUP(C121,'TTB Reporting'!D:D,'TTB Reporting'!J:J,FALSE)</f>
        <v>FDP 78-10-00-12</v>
      </c>
    </row>
    <row r="122" spans="1:8">
      <c r="A122" s="158">
        <v>45554</v>
      </c>
      <c r="B122" s="159" t="s">
        <v>553</v>
      </c>
      <c r="C122" s="159" t="s">
        <v>182</v>
      </c>
      <c r="D122" s="163">
        <v>4</v>
      </c>
      <c r="E122" s="163">
        <v>4</v>
      </c>
      <c r="F122" s="161" t="s">
        <v>486</v>
      </c>
      <c r="G122" s="162" t="s">
        <v>619</v>
      </c>
      <c r="H122" s="175" t="str">
        <f>_xlfn.XLOOKUP(C122,'TTB Reporting'!D:D,'TTB Reporting'!J:J,FALSE)</f>
        <v>FDP 78-10-00-12</v>
      </c>
    </row>
    <row r="123" spans="1:8">
      <c r="A123" s="158">
        <v>45554</v>
      </c>
      <c r="B123" s="159" t="s">
        <v>553</v>
      </c>
      <c r="C123" s="159" t="s">
        <v>183</v>
      </c>
      <c r="D123" s="163">
        <v>3</v>
      </c>
      <c r="E123" s="163">
        <v>4</v>
      </c>
      <c r="F123" s="161" t="s">
        <v>483</v>
      </c>
      <c r="G123" s="162" t="s">
        <v>620</v>
      </c>
      <c r="H123" s="175" t="str">
        <f>_xlfn.XLOOKUP(C123,'TTB Reporting'!D:D,'TTB Reporting'!J:J,FALSE)</f>
        <v>FDP 78-10-00-12</v>
      </c>
    </row>
    <row r="124" spans="1:8">
      <c r="A124" s="158">
        <v>45554</v>
      </c>
      <c r="B124" s="159" t="s">
        <v>553</v>
      </c>
      <c r="C124" s="159" t="s">
        <v>183</v>
      </c>
      <c r="D124" s="163">
        <v>3</v>
      </c>
      <c r="E124" s="163">
        <v>4</v>
      </c>
      <c r="F124" s="161" t="s">
        <v>486</v>
      </c>
      <c r="G124" s="162" t="s">
        <v>621</v>
      </c>
      <c r="H124" s="175" t="str">
        <f>_xlfn.XLOOKUP(C124,'TTB Reporting'!D:D,'TTB Reporting'!J:J,FALSE)</f>
        <v>FDP 78-10-00-12</v>
      </c>
    </row>
    <row r="125" spans="1:8">
      <c r="A125" s="158">
        <v>45554</v>
      </c>
      <c r="B125" s="159" t="s">
        <v>622</v>
      </c>
      <c r="C125" s="159" t="s">
        <v>184</v>
      </c>
      <c r="D125" s="163">
        <v>3</v>
      </c>
      <c r="E125" s="163">
        <v>4</v>
      </c>
      <c r="F125" s="161" t="s">
        <v>483</v>
      </c>
      <c r="G125" s="162" t="s">
        <v>623</v>
      </c>
      <c r="H125" s="175" t="str">
        <f>_xlfn.XLOOKUP(C125,'TTB Reporting'!D:D,'TTB Reporting'!J:J,FALSE)</f>
        <v>FDP 78-10-00-12</v>
      </c>
    </row>
    <row r="126" spans="1:8">
      <c r="A126" s="158">
        <v>45554</v>
      </c>
      <c r="B126" s="159" t="s">
        <v>622</v>
      </c>
      <c r="C126" s="159" t="s">
        <v>184</v>
      </c>
      <c r="D126" s="163">
        <v>3</v>
      </c>
      <c r="E126" s="163">
        <v>3</v>
      </c>
      <c r="F126" s="161" t="s">
        <v>486</v>
      </c>
      <c r="G126" s="162" t="s">
        <v>624</v>
      </c>
      <c r="H126" s="175" t="str">
        <f>_xlfn.XLOOKUP(C126,'TTB Reporting'!D:D,'TTB Reporting'!J:J,FALSE)</f>
        <v>FDP 78-10-00-12</v>
      </c>
    </row>
    <row r="127" spans="1:8">
      <c r="A127" s="158">
        <v>45554</v>
      </c>
      <c r="B127" s="159" t="s">
        <v>622</v>
      </c>
      <c r="C127" s="159" t="s">
        <v>185</v>
      </c>
      <c r="D127" s="163">
        <v>3</v>
      </c>
      <c r="E127" s="163">
        <v>4</v>
      </c>
      <c r="F127" s="161" t="s">
        <v>483</v>
      </c>
      <c r="G127" s="162" t="s">
        <v>625</v>
      </c>
      <c r="H127" s="175" t="str">
        <f>_xlfn.XLOOKUP(C127,'TTB Reporting'!D:D,'TTB Reporting'!J:J,FALSE)</f>
        <v>FDP 78-10-00-12</v>
      </c>
    </row>
    <row r="128" spans="1:8">
      <c r="A128" s="158">
        <v>45554</v>
      </c>
      <c r="B128" s="159" t="s">
        <v>622</v>
      </c>
      <c r="C128" s="159" t="s">
        <v>185</v>
      </c>
      <c r="D128" s="163">
        <v>3</v>
      </c>
      <c r="E128" s="163">
        <v>4</v>
      </c>
      <c r="F128" s="161" t="s">
        <v>486</v>
      </c>
      <c r="G128" s="162" t="s">
        <v>626</v>
      </c>
      <c r="H128" s="175" t="str">
        <f>_xlfn.XLOOKUP(C128,'TTB Reporting'!D:D,'TTB Reporting'!J:J,FALSE)</f>
        <v>FDP 78-10-00-12</v>
      </c>
    </row>
    <row r="129" spans="1:8">
      <c r="A129" s="158">
        <v>45554</v>
      </c>
      <c r="B129" s="159" t="s">
        <v>622</v>
      </c>
      <c r="C129" s="159" t="s">
        <v>186</v>
      </c>
      <c r="D129" s="163">
        <v>3</v>
      </c>
      <c r="E129" s="163">
        <v>4</v>
      </c>
      <c r="F129" s="161" t="s">
        <v>483</v>
      </c>
      <c r="G129" s="162" t="s">
        <v>627</v>
      </c>
      <c r="H129" s="175" t="str">
        <f>_xlfn.XLOOKUP(C129,'TTB Reporting'!D:D,'TTB Reporting'!J:J,FALSE)</f>
        <v>FDP 78-10-00-12</v>
      </c>
    </row>
    <row r="130" spans="1:8">
      <c r="A130" s="158">
        <v>45554</v>
      </c>
      <c r="B130" s="159" t="s">
        <v>622</v>
      </c>
      <c r="C130" s="159" t="s">
        <v>186</v>
      </c>
      <c r="D130" s="163">
        <v>3</v>
      </c>
      <c r="E130" s="163">
        <v>4</v>
      </c>
      <c r="F130" s="161" t="s">
        <v>486</v>
      </c>
      <c r="G130" s="162"/>
      <c r="H130" s="175" t="str">
        <f>_xlfn.XLOOKUP(C130,'TTB Reporting'!D:D,'TTB Reporting'!J:J,FALSE)</f>
        <v>FDP 78-10-00-12</v>
      </c>
    </row>
    <row r="131" spans="1:8">
      <c r="A131" s="158">
        <v>45554</v>
      </c>
      <c r="B131" s="159" t="s">
        <v>628</v>
      </c>
      <c r="C131" s="159" t="s">
        <v>188</v>
      </c>
      <c r="D131" s="163">
        <v>3</v>
      </c>
      <c r="E131" s="163">
        <v>3</v>
      </c>
      <c r="F131" s="161" t="s">
        <v>483</v>
      </c>
      <c r="G131" s="162" t="s">
        <v>629</v>
      </c>
      <c r="H131" s="175" t="str">
        <f>_xlfn.XLOOKUP(C131,'TTB Reporting'!D:D,'TTB Reporting'!J:J,FALSE)</f>
        <v>WGS 60-36-00-04</v>
      </c>
    </row>
    <row r="132" spans="1:8">
      <c r="A132" s="158">
        <v>45554</v>
      </c>
      <c r="B132" s="159" t="s">
        <v>628</v>
      </c>
      <c r="C132" s="159" t="s">
        <v>188</v>
      </c>
      <c r="D132" s="163">
        <v>3</v>
      </c>
      <c r="E132" s="163">
        <v>3</v>
      </c>
      <c r="F132" s="161" t="s">
        <v>486</v>
      </c>
      <c r="G132" s="162" t="s">
        <v>630</v>
      </c>
      <c r="H132" s="175" t="str">
        <f>_xlfn.XLOOKUP(C132,'TTB Reporting'!D:D,'TTB Reporting'!J:J,FALSE)</f>
        <v>WGS 60-36-00-04</v>
      </c>
    </row>
    <row r="133" spans="1:8">
      <c r="A133" s="158">
        <v>45555</v>
      </c>
      <c r="B133" s="159" t="s">
        <v>628</v>
      </c>
      <c r="C133" s="159" t="s">
        <v>189</v>
      </c>
      <c r="D133" s="163">
        <v>3</v>
      </c>
      <c r="E133" s="163">
        <v>3</v>
      </c>
      <c r="F133" s="161" t="s">
        <v>483</v>
      </c>
      <c r="G133" s="162"/>
      <c r="H133" s="175" t="str">
        <f>_xlfn.XLOOKUP(C133,'TTB Reporting'!D:D,'TTB Reporting'!J:J,FALSE)</f>
        <v>WGS 60-36-00-04</v>
      </c>
    </row>
    <row r="134" spans="1:8">
      <c r="A134" s="158">
        <v>45555</v>
      </c>
      <c r="B134" s="159" t="s">
        <v>628</v>
      </c>
      <c r="C134" s="159" t="s">
        <v>189</v>
      </c>
      <c r="D134" s="163">
        <v>3</v>
      </c>
      <c r="E134" s="163">
        <v>3</v>
      </c>
      <c r="F134" s="161" t="s">
        <v>486</v>
      </c>
      <c r="G134" s="162" t="s">
        <v>631</v>
      </c>
      <c r="H134" s="175" t="str">
        <f>_xlfn.XLOOKUP(C134,'TTB Reporting'!D:D,'TTB Reporting'!J:J,FALSE)</f>
        <v>WGS 60-36-00-04</v>
      </c>
    </row>
    <row r="135" spans="1:8">
      <c r="A135" s="158">
        <v>45555</v>
      </c>
      <c r="B135" s="159" t="s">
        <v>628</v>
      </c>
      <c r="C135" s="159" t="s">
        <v>190</v>
      </c>
      <c r="D135" s="163">
        <v>3</v>
      </c>
      <c r="E135" s="163">
        <v>4</v>
      </c>
      <c r="F135" s="161" t="s">
        <v>483</v>
      </c>
      <c r="G135" s="162" t="s">
        <v>632</v>
      </c>
      <c r="H135" s="175" t="str">
        <f>_xlfn.XLOOKUP(C135,'TTB Reporting'!D:D,'TTB Reporting'!J:J,FALSE)</f>
        <v>WGS 60-36-00-04</v>
      </c>
    </row>
    <row r="136" spans="1:8">
      <c r="A136" s="158">
        <v>45555</v>
      </c>
      <c r="B136" s="159" t="s">
        <v>628</v>
      </c>
      <c r="C136" s="159" t="s">
        <v>190</v>
      </c>
      <c r="D136" s="163">
        <v>3</v>
      </c>
      <c r="E136" s="163">
        <v>3</v>
      </c>
      <c r="F136" s="161" t="s">
        <v>486</v>
      </c>
      <c r="G136" s="162" t="s">
        <v>633</v>
      </c>
      <c r="H136" s="175" t="str">
        <f>_xlfn.XLOOKUP(C136,'TTB Reporting'!D:D,'TTB Reporting'!J:J,FALSE)</f>
        <v>WGS 60-36-00-04</v>
      </c>
    </row>
    <row r="137" spans="1:8">
      <c r="A137" s="158">
        <v>45555</v>
      </c>
      <c r="B137" s="159" t="s">
        <v>634</v>
      </c>
      <c r="C137" s="159" t="s">
        <v>192</v>
      </c>
      <c r="D137" s="163">
        <v>3</v>
      </c>
      <c r="E137" s="163">
        <v>4</v>
      </c>
      <c r="F137" s="161" t="s">
        <v>483</v>
      </c>
      <c r="G137" s="162" t="s">
        <v>632</v>
      </c>
      <c r="H137" s="175" t="str">
        <f>_xlfn.XLOOKUP(C137,'TTB Reporting'!D:D,'TTB Reporting'!J:J,FALSE)</f>
        <v>OTS 75-21-00-04</v>
      </c>
    </row>
    <row r="138" spans="1:8">
      <c r="A138" s="158">
        <v>45555</v>
      </c>
      <c r="B138" s="159" t="s">
        <v>634</v>
      </c>
      <c r="C138" s="159" t="s">
        <v>192</v>
      </c>
      <c r="D138" s="163">
        <v>3</v>
      </c>
      <c r="E138" s="163">
        <v>3</v>
      </c>
      <c r="F138" s="161" t="s">
        <v>486</v>
      </c>
      <c r="G138" s="162"/>
      <c r="H138" s="175" t="str">
        <f>_xlfn.XLOOKUP(C138,'TTB Reporting'!D:D,'TTB Reporting'!J:J,FALSE)</f>
        <v>OTS 75-21-00-04</v>
      </c>
    </row>
    <row r="139" spans="1:8">
      <c r="A139" s="158">
        <v>45558</v>
      </c>
      <c r="B139" s="159" t="s">
        <v>634</v>
      </c>
      <c r="C139" s="159" t="s">
        <v>193</v>
      </c>
      <c r="D139" s="163">
        <v>3</v>
      </c>
      <c r="E139" s="163">
        <v>4</v>
      </c>
      <c r="F139" s="161" t="s">
        <v>483</v>
      </c>
      <c r="G139" s="162" t="s">
        <v>635</v>
      </c>
      <c r="H139" s="175" t="str">
        <f>_xlfn.XLOOKUP(C139,'TTB Reporting'!D:D,'TTB Reporting'!J:J,FALSE)</f>
        <v>OTS 75-21-00-04</v>
      </c>
    </row>
    <row r="140" spans="1:8">
      <c r="A140" s="158">
        <v>45558</v>
      </c>
      <c r="B140" s="159" t="s">
        <v>634</v>
      </c>
      <c r="C140" s="159" t="s">
        <v>193</v>
      </c>
      <c r="D140" s="163">
        <v>4</v>
      </c>
      <c r="E140" s="163">
        <v>4</v>
      </c>
      <c r="F140" s="161" t="s">
        <v>486</v>
      </c>
      <c r="G140" s="162" t="s">
        <v>636</v>
      </c>
      <c r="H140" s="175" t="str">
        <f>_xlfn.XLOOKUP(C140,'TTB Reporting'!D:D,'TTB Reporting'!J:J,FALSE)</f>
        <v>OTS 75-21-00-04</v>
      </c>
    </row>
    <row r="141" spans="1:8">
      <c r="A141" s="158">
        <v>45558</v>
      </c>
      <c r="B141" s="159" t="s">
        <v>634</v>
      </c>
      <c r="C141" s="159" t="s">
        <v>194</v>
      </c>
      <c r="D141" s="163">
        <v>3</v>
      </c>
      <c r="E141" s="163">
        <v>3</v>
      </c>
      <c r="F141" s="161" t="s">
        <v>483</v>
      </c>
      <c r="G141" s="162" t="s">
        <v>637</v>
      </c>
      <c r="H141" s="175" t="str">
        <f>_xlfn.XLOOKUP(C141,'TTB Reporting'!D:D,'TTB Reporting'!J:J,FALSE)</f>
        <v>OTS 75-21-00-04</v>
      </c>
    </row>
    <row r="142" spans="1:8">
      <c r="A142" s="158">
        <v>45558</v>
      </c>
      <c r="B142" s="159" t="s">
        <v>634</v>
      </c>
      <c r="C142" s="159" t="s">
        <v>194</v>
      </c>
      <c r="D142" s="163">
        <v>3</v>
      </c>
      <c r="E142" s="163">
        <v>3</v>
      </c>
      <c r="F142" s="161" t="s">
        <v>486</v>
      </c>
      <c r="G142" s="162" t="s">
        <v>638</v>
      </c>
      <c r="H142" s="175" t="str">
        <f>_xlfn.XLOOKUP(C142,'TTB Reporting'!D:D,'TTB Reporting'!J:J,FALSE)</f>
        <v>OTS 75-21-00-04</v>
      </c>
    </row>
    <row r="143" spans="1:8">
      <c r="A143" s="158">
        <v>45558</v>
      </c>
      <c r="B143" s="159" t="s">
        <v>634</v>
      </c>
      <c r="C143" s="159" t="s">
        <v>195</v>
      </c>
      <c r="D143" s="163">
        <v>3</v>
      </c>
      <c r="E143" s="163">
        <v>3</v>
      </c>
      <c r="F143" s="161" t="s">
        <v>483</v>
      </c>
      <c r="G143" s="162" t="s">
        <v>637</v>
      </c>
      <c r="H143" s="175" t="str">
        <f>_xlfn.XLOOKUP(C143,'TTB Reporting'!D:D,'TTB Reporting'!J:J,FALSE)</f>
        <v>OTS 75-21-00-04</v>
      </c>
    </row>
    <row r="144" spans="1:8">
      <c r="A144" s="158">
        <v>45558</v>
      </c>
      <c r="B144" s="159" t="s">
        <v>634</v>
      </c>
      <c r="C144" s="159" t="s">
        <v>195</v>
      </c>
      <c r="D144" s="163">
        <v>3</v>
      </c>
      <c r="E144" s="163">
        <v>3</v>
      </c>
      <c r="F144" s="161" t="s">
        <v>486</v>
      </c>
      <c r="G144" s="162" t="s">
        <v>639</v>
      </c>
      <c r="H144" s="175" t="str">
        <f>_xlfn.XLOOKUP(C144,'TTB Reporting'!D:D,'TTB Reporting'!J:J,FALSE)</f>
        <v>OTS 75-21-00-04</v>
      </c>
    </row>
    <row r="145" spans="1:8">
      <c r="A145" s="158">
        <v>45559</v>
      </c>
      <c r="B145" s="159" t="s">
        <v>634</v>
      </c>
      <c r="C145" s="159" t="s">
        <v>200</v>
      </c>
      <c r="D145" s="163">
        <v>3</v>
      </c>
      <c r="E145" s="163">
        <v>3</v>
      </c>
      <c r="F145" s="161" t="s">
        <v>483</v>
      </c>
      <c r="G145" s="162" t="s">
        <v>640</v>
      </c>
      <c r="H145" s="175" t="str">
        <f>_xlfn.XLOOKUP(C145,'TTB Reporting'!D:D,'TTB Reporting'!J:J,FALSE)</f>
        <v>OTS 80-10-00-10</v>
      </c>
    </row>
    <row r="146" spans="1:8">
      <c r="A146" s="158">
        <v>45559</v>
      </c>
      <c r="B146" s="159" t="s">
        <v>634</v>
      </c>
      <c r="C146" s="159" t="s">
        <v>200</v>
      </c>
      <c r="D146" s="163">
        <v>3</v>
      </c>
      <c r="E146" s="163">
        <v>3</v>
      </c>
      <c r="F146" s="161" t="s">
        <v>486</v>
      </c>
      <c r="G146" s="162" t="s">
        <v>641</v>
      </c>
      <c r="H146" s="175" t="str">
        <f>_xlfn.XLOOKUP(C146,'TTB Reporting'!D:D,'TTB Reporting'!J:J,FALSE)</f>
        <v>OTS 80-10-00-10</v>
      </c>
    </row>
    <row r="147" spans="1:8">
      <c r="A147" s="158">
        <v>45559</v>
      </c>
      <c r="B147" s="159" t="s">
        <v>634</v>
      </c>
      <c r="C147" s="159" t="s">
        <v>196</v>
      </c>
      <c r="D147" s="163">
        <v>3</v>
      </c>
      <c r="E147" s="163">
        <v>3</v>
      </c>
      <c r="F147" s="161" t="s">
        <v>483</v>
      </c>
      <c r="G147" s="162" t="s">
        <v>642</v>
      </c>
      <c r="H147" s="175" t="str">
        <f>_xlfn.XLOOKUP(C147,'TTB Reporting'!D:D,'TTB Reporting'!J:J,FALSE)</f>
        <v>OTS 75-21-00-04</v>
      </c>
    </row>
    <row r="148" spans="1:8">
      <c r="A148" s="158">
        <v>45559</v>
      </c>
      <c r="B148" s="159" t="s">
        <v>634</v>
      </c>
      <c r="C148" s="159" t="s">
        <v>196</v>
      </c>
      <c r="D148" s="163">
        <v>3</v>
      </c>
      <c r="E148" s="163">
        <v>3</v>
      </c>
      <c r="F148" s="161" t="s">
        <v>486</v>
      </c>
      <c r="G148" s="162" t="s">
        <v>643</v>
      </c>
      <c r="H148" s="175" t="str">
        <f>_xlfn.XLOOKUP(C148,'TTB Reporting'!D:D,'TTB Reporting'!J:J,FALSE)</f>
        <v>OTS 75-21-00-04</v>
      </c>
    </row>
    <row r="149" spans="1:8">
      <c r="A149" s="158">
        <v>45559</v>
      </c>
      <c r="B149" s="159" t="s">
        <v>634</v>
      </c>
      <c r="C149" s="159" t="s">
        <v>198</v>
      </c>
      <c r="D149" s="163">
        <v>4</v>
      </c>
      <c r="E149" s="163">
        <v>4</v>
      </c>
      <c r="F149" s="161" t="s">
        <v>483</v>
      </c>
      <c r="G149" s="162" t="s">
        <v>644</v>
      </c>
      <c r="H149" s="175" t="str">
        <f>_xlfn.XLOOKUP(C149,'TTB Reporting'!D:D,'TTB Reporting'!J:J,FALSE)</f>
        <v>OTS 75-21-00-04</v>
      </c>
    </row>
    <row r="150" spans="1:8">
      <c r="A150" s="158">
        <v>45559</v>
      </c>
      <c r="B150" s="159" t="s">
        <v>634</v>
      </c>
      <c r="C150" s="159" t="s">
        <v>198</v>
      </c>
      <c r="D150" s="163">
        <v>4</v>
      </c>
      <c r="E150" s="163">
        <v>4</v>
      </c>
      <c r="F150" s="161" t="s">
        <v>486</v>
      </c>
      <c r="G150" s="162" t="s">
        <v>645</v>
      </c>
      <c r="H150" s="175" t="str">
        <f>_xlfn.XLOOKUP(C150,'TTB Reporting'!D:D,'TTB Reporting'!J:J,FALSE)</f>
        <v>OTS 75-21-00-04</v>
      </c>
    </row>
    <row r="151" spans="1:8">
      <c r="A151" s="158">
        <v>45559</v>
      </c>
      <c r="B151" s="159" t="s">
        <v>553</v>
      </c>
      <c r="C151" s="159" t="s">
        <v>229</v>
      </c>
      <c r="D151" s="163">
        <v>4</v>
      </c>
      <c r="E151" s="163">
        <v>4</v>
      </c>
      <c r="F151" s="161" t="s">
        <v>483</v>
      </c>
      <c r="G151" s="162" t="s">
        <v>646</v>
      </c>
      <c r="H151" s="175" t="str">
        <f>_xlfn.XLOOKUP(C151,'TTB Reporting'!D:D,'TTB Reporting'!J:J,FALSE)</f>
        <v>WHK 75-21-00-04</v>
      </c>
    </row>
    <row r="152" spans="1:8">
      <c r="A152" s="158">
        <v>45559</v>
      </c>
      <c r="B152" s="159" t="s">
        <v>553</v>
      </c>
      <c r="C152" s="159" t="s">
        <v>229</v>
      </c>
      <c r="D152" s="163">
        <v>4</v>
      </c>
      <c r="E152" s="163">
        <v>4</v>
      </c>
      <c r="F152" s="161" t="s">
        <v>486</v>
      </c>
      <c r="G152" s="162" t="s">
        <v>647</v>
      </c>
      <c r="H152" s="175" t="str">
        <f>_xlfn.XLOOKUP(C152,'TTB Reporting'!D:D,'TTB Reporting'!J:J,FALSE)</f>
        <v>WHK 75-21-00-04</v>
      </c>
    </row>
    <row r="153" spans="1:8">
      <c r="A153" s="158">
        <v>45560</v>
      </c>
      <c r="B153" s="159" t="s">
        <v>634</v>
      </c>
      <c r="C153" s="159" t="s">
        <v>230</v>
      </c>
      <c r="D153" s="163">
        <v>3</v>
      </c>
      <c r="E153" s="163">
        <v>4</v>
      </c>
      <c r="F153" s="161" t="s">
        <v>483</v>
      </c>
      <c r="G153" s="162" t="s">
        <v>648</v>
      </c>
      <c r="H153" s="175" t="str">
        <f>_xlfn.XLOOKUP(C153,'TTB Reporting'!D:D,'TTB Reporting'!J:J,FALSE)</f>
        <v>WHK 75-21-00-04</v>
      </c>
    </row>
    <row r="154" spans="1:8">
      <c r="A154" s="158">
        <v>45560</v>
      </c>
      <c r="B154" s="159" t="s">
        <v>634</v>
      </c>
      <c r="C154" s="159" t="s">
        <v>230</v>
      </c>
      <c r="D154" s="163">
        <v>3</v>
      </c>
      <c r="E154" s="163">
        <v>3</v>
      </c>
      <c r="F154" s="161" t="s">
        <v>486</v>
      </c>
      <c r="G154" s="162" t="s">
        <v>649</v>
      </c>
      <c r="H154" s="175" t="str">
        <f>_xlfn.XLOOKUP(C154,'TTB Reporting'!D:D,'TTB Reporting'!J:J,FALSE)</f>
        <v>WHK 75-21-00-04</v>
      </c>
    </row>
    <row r="155" spans="1:8">
      <c r="A155" s="158">
        <v>45560</v>
      </c>
      <c r="B155" s="159" t="s">
        <v>634</v>
      </c>
      <c r="C155" s="159" t="s">
        <v>201</v>
      </c>
      <c r="D155" s="163">
        <v>4</v>
      </c>
      <c r="E155" s="163">
        <v>4</v>
      </c>
      <c r="F155" s="161" t="s">
        <v>483</v>
      </c>
      <c r="G155" s="162" t="s">
        <v>650</v>
      </c>
      <c r="H155" t="str">
        <f>_xlfn.XLOOKUP(C155,'TTB Reporting'!D:D,'TTB Reporting'!J:J,FALSE)</f>
        <v>OTS 80-10-00-10</v>
      </c>
    </row>
    <row r="156" spans="1:8">
      <c r="A156" s="158">
        <v>45560</v>
      </c>
      <c r="B156" s="159" t="s">
        <v>634</v>
      </c>
      <c r="C156" s="159" t="s">
        <v>201</v>
      </c>
      <c r="D156" s="163">
        <v>3</v>
      </c>
      <c r="E156" s="163">
        <v>3</v>
      </c>
      <c r="F156" s="161" t="s">
        <v>486</v>
      </c>
      <c r="G156" s="162" t="s">
        <v>649</v>
      </c>
      <c r="H156" s="175" t="str">
        <f>_xlfn.XLOOKUP(C156,'TTB Reporting'!D:D,'TTB Reporting'!J:J,FALSE)</f>
        <v>OTS 80-10-00-10</v>
      </c>
    </row>
    <row r="157" spans="1:8">
      <c r="A157" s="158">
        <v>45561</v>
      </c>
      <c r="B157" s="159" t="s">
        <v>634</v>
      </c>
      <c r="C157" s="159" t="s">
        <v>202</v>
      </c>
      <c r="D157" s="163">
        <v>4</v>
      </c>
      <c r="E157" s="163">
        <v>4</v>
      </c>
      <c r="F157" s="161" t="s">
        <v>483</v>
      </c>
      <c r="G157" s="162" t="s">
        <v>651</v>
      </c>
      <c r="H157" t="str">
        <f>_xlfn.XLOOKUP(C157,'TTB Reporting'!D:D,'TTB Reporting'!J:J,FALSE)</f>
        <v>OTS 80-10-00-10</v>
      </c>
    </row>
    <row r="158" spans="1:8">
      <c r="A158" s="158">
        <v>45561</v>
      </c>
      <c r="B158" s="159" t="s">
        <v>634</v>
      </c>
      <c r="C158" s="159" t="s">
        <v>202</v>
      </c>
      <c r="D158" s="163">
        <v>3</v>
      </c>
      <c r="E158" s="163">
        <v>3</v>
      </c>
      <c r="F158" s="161" t="s">
        <v>486</v>
      </c>
      <c r="G158" s="162" t="s">
        <v>652</v>
      </c>
      <c r="H158" s="175" t="str">
        <f>_xlfn.XLOOKUP(C158,'TTB Reporting'!D:D,'TTB Reporting'!J:J,FALSE)</f>
        <v>OTS 80-10-00-10</v>
      </c>
    </row>
    <row r="159" spans="1:8">
      <c r="A159" s="158">
        <v>45561</v>
      </c>
      <c r="B159" s="159" t="s">
        <v>634</v>
      </c>
      <c r="C159" s="159" t="s">
        <v>203</v>
      </c>
      <c r="D159" s="163">
        <v>4</v>
      </c>
      <c r="E159" s="163">
        <v>4</v>
      </c>
      <c r="F159" s="161" t="s">
        <v>483</v>
      </c>
      <c r="G159" s="162" t="s">
        <v>651</v>
      </c>
      <c r="H159" t="str">
        <f>_xlfn.XLOOKUP(C159,'TTB Reporting'!D:D,'TTB Reporting'!J:J,FALSE)</f>
        <v>OTS 80-10-00-10</v>
      </c>
    </row>
    <row r="160" spans="1:8">
      <c r="A160" s="158">
        <v>45561</v>
      </c>
      <c r="B160" s="159" t="s">
        <v>634</v>
      </c>
      <c r="C160" s="159" t="s">
        <v>203</v>
      </c>
      <c r="D160" s="163">
        <v>3</v>
      </c>
      <c r="E160" s="163">
        <v>3</v>
      </c>
      <c r="F160" s="161" t="s">
        <v>486</v>
      </c>
      <c r="G160" s="162" t="s">
        <v>652</v>
      </c>
      <c r="H160" s="175" t="str">
        <f>_xlfn.XLOOKUP(C160,'TTB Reporting'!D:D,'TTB Reporting'!J:J,FALSE)</f>
        <v>OTS 80-10-00-10</v>
      </c>
    </row>
    <row r="161" spans="1:8">
      <c r="A161" s="158">
        <v>45565</v>
      </c>
      <c r="B161" s="159" t="s">
        <v>634</v>
      </c>
      <c r="C161" s="159" t="s">
        <v>205</v>
      </c>
      <c r="D161" s="163">
        <v>4</v>
      </c>
      <c r="E161" s="163">
        <v>4</v>
      </c>
      <c r="F161" s="161" t="s">
        <v>483</v>
      </c>
      <c r="G161" s="162" t="s">
        <v>651</v>
      </c>
      <c r="H161" t="str">
        <f>_xlfn.XLOOKUP(C161,'TTB Reporting'!D:D,'TTB Reporting'!J:J,FALSE)</f>
        <v>OTS 80-10-00-10</v>
      </c>
    </row>
    <row r="162" spans="1:8">
      <c r="A162" s="158">
        <v>45565</v>
      </c>
      <c r="B162" s="159" t="s">
        <v>634</v>
      </c>
      <c r="C162" s="159" t="s">
        <v>205</v>
      </c>
      <c r="D162" s="163">
        <v>3</v>
      </c>
      <c r="E162" s="163">
        <v>4</v>
      </c>
      <c r="F162" s="161" t="s">
        <v>486</v>
      </c>
      <c r="G162" s="162" t="s">
        <v>653</v>
      </c>
      <c r="H162" t="str">
        <f>_xlfn.XLOOKUP(C162,'TTB Reporting'!D:D,'TTB Reporting'!J:J,FALSE)</f>
        <v>OTS 80-10-00-10</v>
      </c>
    </row>
    <row r="163" spans="1:8">
      <c r="A163" s="158">
        <v>45565</v>
      </c>
      <c r="B163" s="159" t="s">
        <v>634</v>
      </c>
      <c r="C163" s="159" t="s">
        <v>204</v>
      </c>
      <c r="D163" s="163">
        <v>4</v>
      </c>
      <c r="E163" s="163">
        <v>4</v>
      </c>
      <c r="F163" s="161" t="s">
        <v>483</v>
      </c>
      <c r="G163" s="162" t="s">
        <v>654</v>
      </c>
      <c r="H163" t="str">
        <f>_xlfn.XLOOKUP(C163,'TTB Reporting'!D:D,'TTB Reporting'!J:J,FALSE)</f>
        <v>OTS 80-10-00-10</v>
      </c>
    </row>
    <row r="164" spans="1:8">
      <c r="A164" s="158">
        <v>45565</v>
      </c>
      <c r="B164" s="159" t="s">
        <v>634</v>
      </c>
      <c r="C164" s="159" t="s">
        <v>204</v>
      </c>
      <c r="D164" s="163">
        <v>3</v>
      </c>
      <c r="E164" s="163">
        <v>4</v>
      </c>
      <c r="F164" s="161" t="s">
        <v>486</v>
      </c>
      <c r="G164" s="162" t="s">
        <v>655</v>
      </c>
      <c r="H164" s="175" t="str">
        <f>_xlfn.XLOOKUP(C164,'TTB Reporting'!D:D,'TTB Reporting'!J:J,FALSE)</f>
        <v>OTS 80-10-00-10</v>
      </c>
    </row>
    <row r="165" spans="1:8">
      <c r="A165" s="158">
        <v>45565</v>
      </c>
      <c r="B165" s="159" t="s">
        <v>656</v>
      </c>
      <c r="C165" s="159" t="s">
        <v>210</v>
      </c>
      <c r="D165" s="163">
        <v>4</v>
      </c>
      <c r="E165" s="163">
        <v>4</v>
      </c>
      <c r="F165" s="161" t="s">
        <v>483</v>
      </c>
      <c r="G165" s="162" t="s">
        <v>654</v>
      </c>
      <c r="H165" t="str">
        <f>_xlfn.XLOOKUP(C165,'TTB Reporting'!D:D,'TTB Reporting'!J:J,FALSE)</f>
        <v>LSS 73-18-00-09</v>
      </c>
    </row>
    <row r="166" spans="1:8">
      <c r="A166" s="158">
        <v>45565</v>
      </c>
      <c r="B166" s="171" t="s">
        <v>656</v>
      </c>
      <c r="C166" s="165" t="s">
        <v>210</v>
      </c>
      <c r="D166" s="163">
        <v>4</v>
      </c>
      <c r="E166" s="163">
        <v>4</v>
      </c>
      <c r="F166" s="161" t="s">
        <v>486</v>
      </c>
      <c r="G166" s="162" t="s">
        <v>657</v>
      </c>
      <c r="H166" t="str">
        <f>_xlfn.XLOOKUP(C166,'TTB Reporting'!D:D,'TTB Reporting'!J:J,FALSE)</f>
        <v>LSS 73-18-00-09</v>
      </c>
    </row>
    <row r="167" spans="1:8">
      <c r="A167" s="158">
        <v>45565</v>
      </c>
      <c r="B167" s="172" t="s">
        <v>553</v>
      </c>
      <c r="C167" s="159" t="s">
        <v>658</v>
      </c>
      <c r="D167" s="163">
        <v>4</v>
      </c>
      <c r="E167" s="163">
        <v>4</v>
      </c>
      <c r="F167" s="161" t="s">
        <v>483</v>
      </c>
      <c r="G167" s="162" t="s">
        <v>659</v>
      </c>
      <c r="H167" t="b">
        <f>_xlfn.XLOOKUP(C167,'TTB Reporting'!D:D,'TTB Reporting'!J:J,FALSE)</f>
        <v>0</v>
      </c>
    </row>
    <row r="168" spans="1:8">
      <c r="A168" s="158">
        <v>45565</v>
      </c>
      <c r="B168" s="159" t="s">
        <v>553</v>
      </c>
      <c r="C168" s="159" t="s">
        <v>658</v>
      </c>
      <c r="D168" s="163">
        <v>4</v>
      </c>
      <c r="E168" s="163">
        <v>4</v>
      </c>
      <c r="F168" s="161" t="s">
        <v>486</v>
      </c>
      <c r="G168" s="162" t="s">
        <v>660</v>
      </c>
      <c r="H168" t="b">
        <f>_xlfn.XLOOKUP(C168,'TTB Reporting'!D:D,'TTB Reporting'!J:J,FALSE)</f>
        <v>0</v>
      </c>
    </row>
    <row r="169" spans="1:8">
      <c r="A169" s="158">
        <v>45565</v>
      </c>
      <c r="B169" s="159" t="s">
        <v>553</v>
      </c>
      <c r="C169" s="159" t="s">
        <v>232</v>
      </c>
      <c r="D169" s="163">
        <v>4</v>
      </c>
      <c r="E169" s="163">
        <v>4</v>
      </c>
      <c r="F169" s="161" t="s">
        <v>483</v>
      </c>
      <c r="G169" s="162" t="s">
        <v>659</v>
      </c>
      <c r="H169" t="str">
        <f>_xlfn.XLOOKUP(C169,'TTB Reporting'!D:D,'TTB Reporting'!J:J,FALSE)</f>
        <v>WHK 80-10-00-10</v>
      </c>
    </row>
    <row r="170" spans="1:8">
      <c r="A170" s="158">
        <v>45565</v>
      </c>
      <c r="B170" s="159" t="s">
        <v>553</v>
      </c>
      <c r="C170" s="159" t="s">
        <v>232</v>
      </c>
      <c r="D170" s="163">
        <v>4</v>
      </c>
      <c r="E170" s="163">
        <v>3</v>
      </c>
      <c r="F170" s="161" t="s">
        <v>486</v>
      </c>
      <c r="G170" s="162" t="s">
        <v>661</v>
      </c>
      <c r="H170" t="str">
        <f>_xlfn.XLOOKUP(C170,'TTB Reporting'!D:D,'TTB Reporting'!J:J,FALSE)</f>
        <v>WHK 80-10-00-10</v>
      </c>
    </row>
    <row r="171" spans="1:8">
      <c r="A171" s="158">
        <v>45565</v>
      </c>
      <c r="B171" s="159" t="s">
        <v>553</v>
      </c>
      <c r="C171" s="159" t="s">
        <v>234</v>
      </c>
      <c r="D171" s="163">
        <v>4</v>
      </c>
      <c r="E171" s="163">
        <v>4</v>
      </c>
      <c r="F171" s="161" t="s">
        <v>483</v>
      </c>
      <c r="G171" s="162" t="s">
        <v>654</v>
      </c>
      <c r="H171" t="str">
        <f>_xlfn.XLOOKUP(C171,'TTB Reporting'!D:D,'TTB Reporting'!J:J,FALSE)</f>
        <v>WHK 73-18-00-09</v>
      </c>
    </row>
    <row r="172" spans="1:8">
      <c r="A172" s="158">
        <v>45565</v>
      </c>
      <c r="B172" s="159" t="s">
        <v>553</v>
      </c>
      <c r="C172" s="159" t="s">
        <v>234</v>
      </c>
      <c r="D172" s="163">
        <v>4</v>
      </c>
      <c r="E172" s="163">
        <v>4</v>
      </c>
      <c r="F172" s="161" t="s">
        <v>486</v>
      </c>
      <c r="G172" s="162" t="s">
        <v>662</v>
      </c>
      <c r="H172" t="str">
        <f>_xlfn.XLOOKUP(C172,'TTB Reporting'!D:D,'TTB Reporting'!J:J,FALSE)</f>
        <v>WHK 73-18-00-09</v>
      </c>
    </row>
    <row r="173" spans="1:8">
      <c r="A173" s="158">
        <v>45565</v>
      </c>
      <c r="B173" s="159" t="s">
        <v>656</v>
      </c>
      <c r="C173" s="159" t="s">
        <v>207</v>
      </c>
      <c r="D173" s="163">
        <v>4</v>
      </c>
      <c r="E173" s="163">
        <v>4</v>
      </c>
      <c r="F173" s="161" t="s">
        <v>483</v>
      </c>
      <c r="G173" s="162" t="s">
        <v>654</v>
      </c>
      <c r="H173" t="str">
        <f>_xlfn.XLOOKUP(C173,'TTB Reporting'!D:D,'TTB Reporting'!J:J,FALSE)</f>
        <v>LSS 73-18-00-09</v>
      </c>
    </row>
    <row r="174" spans="1:8">
      <c r="A174" s="158">
        <v>45565</v>
      </c>
      <c r="B174" s="159" t="s">
        <v>656</v>
      </c>
      <c r="C174" s="159" t="s">
        <v>207</v>
      </c>
      <c r="D174" s="163">
        <v>4</v>
      </c>
      <c r="E174" s="163">
        <v>4</v>
      </c>
      <c r="F174" s="161" t="s">
        <v>486</v>
      </c>
      <c r="G174" s="162" t="s">
        <v>662</v>
      </c>
      <c r="H174" t="str">
        <f>_xlfn.XLOOKUP(C174,'TTB Reporting'!D:D,'TTB Reporting'!J:J,FALSE)</f>
        <v>LSS 73-18-00-09</v>
      </c>
    </row>
    <row r="175" spans="1:8">
      <c r="A175" s="158">
        <v>45565</v>
      </c>
      <c r="B175" s="159" t="s">
        <v>656</v>
      </c>
      <c r="C175" s="159" t="s">
        <v>209</v>
      </c>
      <c r="D175" s="163">
        <v>4</v>
      </c>
      <c r="E175" s="163">
        <v>4</v>
      </c>
      <c r="F175" s="161" t="s">
        <v>483</v>
      </c>
      <c r="G175" s="162" t="s">
        <v>654</v>
      </c>
      <c r="H175" t="str">
        <f>_xlfn.XLOOKUP(C175,'TTB Reporting'!D:D,'TTB Reporting'!J:J,FALSE)</f>
        <v>LSS 73-18-00-09</v>
      </c>
    </row>
    <row r="176" spans="1:8">
      <c r="A176" s="158">
        <v>45565</v>
      </c>
      <c r="B176" s="159" t="s">
        <v>656</v>
      </c>
      <c r="C176" s="159" t="s">
        <v>209</v>
      </c>
      <c r="D176" s="163">
        <v>4</v>
      </c>
      <c r="E176" s="163">
        <v>4</v>
      </c>
      <c r="F176" s="161" t="s">
        <v>486</v>
      </c>
      <c r="G176" s="162" t="s">
        <v>663</v>
      </c>
      <c r="H176" t="str">
        <f>_xlfn.XLOOKUP(C176,'TTB Reporting'!D:D,'TTB Reporting'!J:J,FALSE)</f>
        <v>LSS 73-18-00-09</v>
      </c>
    </row>
    <row r="177" spans="1:8">
      <c r="A177" s="158">
        <v>45567</v>
      </c>
      <c r="B177" s="159" t="s">
        <v>656</v>
      </c>
      <c r="C177" s="159" t="s">
        <v>211</v>
      </c>
      <c r="D177" s="163">
        <v>4</v>
      </c>
      <c r="E177" s="163">
        <v>4</v>
      </c>
      <c r="F177" s="161" t="s">
        <v>483</v>
      </c>
      <c r="G177" s="162" t="s">
        <v>664</v>
      </c>
      <c r="H177" t="str">
        <f>_xlfn.XLOOKUP(C177,'TTB Reporting'!D:D,'TTB Reporting'!J:J,FALSE)</f>
        <v>LSS 73-18-00-09</v>
      </c>
    </row>
    <row r="178" spans="1:8">
      <c r="A178" s="158">
        <v>45567</v>
      </c>
      <c r="B178" s="159" t="s">
        <v>656</v>
      </c>
      <c r="C178" s="159" t="s">
        <v>211</v>
      </c>
      <c r="D178" s="163">
        <v>4</v>
      </c>
      <c r="E178" s="163">
        <v>4</v>
      </c>
      <c r="F178" s="161" t="s">
        <v>486</v>
      </c>
      <c r="G178" s="162" t="s">
        <v>665</v>
      </c>
      <c r="H178" t="str">
        <f>_xlfn.XLOOKUP(C178,'TTB Reporting'!D:D,'TTB Reporting'!J:J,FALSE)</f>
        <v>LSS 73-18-00-09</v>
      </c>
    </row>
    <row r="179" spans="1:8">
      <c r="A179" s="158">
        <v>45567</v>
      </c>
      <c r="B179" s="159" t="s">
        <v>656</v>
      </c>
      <c r="C179" s="159" t="s">
        <v>212</v>
      </c>
      <c r="D179" s="163">
        <v>4</v>
      </c>
      <c r="E179" s="163">
        <v>4</v>
      </c>
      <c r="F179" s="161" t="s">
        <v>483</v>
      </c>
      <c r="G179" s="162" t="s">
        <v>664</v>
      </c>
      <c r="H179" t="str">
        <f>_xlfn.XLOOKUP(C179,'TTB Reporting'!D:D,'TTB Reporting'!J:J,FALSE)</f>
        <v>LSS 73-18-00-09</v>
      </c>
    </row>
    <row r="180" spans="1:8">
      <c r="A180" s="158">
        <v>45567</v>
      </c>
      <c r="B180" s="159" t="s">
        <v>656</v>
      </c>
      <c r="C180" s="159" t="s">
        <v>212</v>
      </c>
      <c r="D180" s="163">
        <v>4</v>
      </c>
      <c r="E180" s="163">
        <v>4</v>
      </c>
      <c r="F180" s="161" t="s">
        <v>486</v>
      </c>
      <c r="G180" s="162"/>
      <c r="H180" t="str">
        <f>_xlfn.XLOOKUP(C180,'TTB Reporting'!D:D,'TTB Reporting'!J:J,FALSE)</f>
        <v>LSS 73-18-00-09</v>
      </c>
    </row>
    <row r="181" spans="1:8">
      <c r="A181" s="158">
        <v>45567</v>
      </c>
      <c r="B181" s="159" t="s">
        <v>656</v>
      </c>
      <c r="C181" s="159" t="s">
        <v>213</v>
      </c>
      <c r="D181" s="163">
        <v>3</v>
      </c>
      <c r="E181" s="163">
        <v>4</v>
      </c>
      <c r="F181" s="161" t="s">
        <v>483</v>
      </c>
      <c r="G181" s="162" t="s">
        <v>664</v>
      </c>
      <c r="H181" s="175" t="str">
        <f>_xlfn.XLOOKUP(C181,'TTB Reporting'!D:D,'TTB Reporting'!J:J,FALSE)</f>
        <v>LSS 73-18-00-09</v>
      </c>
    </row>
    <row r="182" spans="1:8">
      <c r="A182" s="158">
        <v>45567</v>
      </c>
      <c r="B182" s="159" t="s">
        <v>656</v>
      </c>
      <c r="C182" s="159" t="s">
        <v>213</v>
      </c>
      <c r="D182" s="163">
        <v>3</v>
      </c>
      <c r="E182" s="163">
        <v>4</v>
      </c>
      <c r="F182" s="161" t="s">
        <v>486</v>
      </c>
      <c r="G182" s="162"/>
      <c r="H182" s="175" t="str">
        <f>_xlfn.XLOOKUP(C182,'TTB Reporting'!D:D,'TTB Reporting'!J:J,FALSE)</f>
        <v>LSS 73-18-00-09</v>
      </c>
    </row>
    <row r="183" spans="1:8">
      <c r="A183" s="158">
        <v>45567</v>
      </c>
      <c r="B183" s="159" t="s">
        <v>553</v>
      </c>
      <c r="C183" s="159" t="s">
        <v>237</v>
      </c>
      <c r="D183" s="163">
        <v>3</v>
      </c>
      <c r="E183" s="163">
        <v>4</v>
      </c>
      <c r="F183" s="161" t="s">
        <v>483</v>
      </c>
      <c r="G183" s="162" t="s">
        <v>664</v>
      </c>
      <c r="H183" t="str">
        <f>_xlfn.XLOOKUP(C183,'TTB Reporting'!D:D,'TTB Reporting'!J:J,FALSE)</f>
        <v>WHK 73-18-00-09</v>
      </c>
    </row>
    <row r="184" spans="1:8">
      <c r="A184" s="158">
        <v>45567</v>
      </c>
      <c r="B184" s="159" t="s">
        <v>553</v>
      </c>
      <c r="C184" s="159" t="s">
        <v>237</v>
      </c>
      <c r="D184" s="163">
        <v>4</v>
      </c>
      <c r="E184" s="163">
        <v>4</v>
      </c>
      <c r="F184" s="161" t="s">
        <v>486</v>
      </c>
      <c r="G184" s="162" t="s">
        <v>666</v>
      </c>
      <c r="H184" t="str">
        <f>_xlfn.XLOOKUP(C184,'TTB Reporting'!D:D,'TTB Reporting'!J:J,FALSE)</f>
        <v>WHK 73-18-00-09</v>
      </c>
    </row>
    <row r="185" spans="1:8">
      <c r="A185" s="158">
        <v>45567</v>
      </c>
      <c r="B185" s="159" t="s">
        <v>667</v>
      </c>
      <c r="C185" s="159" t="s">
        <v>244</v>
      </c>
      <c r="D185" s="163">
        <v>4</v>
      </c>
      <c r="E185" s="163">
        <v>4</v>
      </c>
      <c r="F185" s="161" t="s">
        <v>483</v>
      </c>
      <c r="G185" s="162"/>
      <c r="H185" t="str">
        <f>_xlfn.XLOOKUP(C185,'TTB Reporting'!D:D,'TTB Reporting'!J:J,FALSE)</f>
        <v>PVS 00-95-00-05</v>
      </c>
    </row>
    <row r="186" spans="1:8">
      <c r="A186" s="158">
        <v>45567</v>
      </c>
      <c r="B186" s="159" t="s">
        <v>667</v>
      </c>
      <c r="C186" s="159" t="s">
        <v>244</v>
      </c>
      <c r="D186" s="163">
        <v>4</v>
      </c>
      <c r="E186" s="163">
        <v>4</v>
      </c>
      <c r="F186" s="161" t="s">
        <v>486</v>
      </c>
      <c r="G186" s="162" t="s">
        <v>668</v>
      </c>
      <c r="H186" t="str">
        <f>_xlfn.XLOOKUP(C186,'TTB Reporting'!D:D,'TTB Reporting'!J:J,FALSE)</f>
        <v>PVS 00-95-00-05</v>
      </c>
    </row>
    <row r="187" spans="1:8">
      <c r="A187" s="158">
        <v>45567</v>
      </c>
      <c r="B187" s="159" t="s">
        <v>667</v>
      </c>
      <c r="C187" s="159" t="s">
        <v>240</v>
      </c>
      <c r="D187" s="163">
        <v>4</v>
      </c>
      <c r="E187" s="163">
        <v>4</v>
      </c>
      <c r="F187" s="161" t="s">
        <v>483</v>
      </c>
      <c r="G187" s="162"/>
      <c r="H187" t="str">
        <f>_xlfn.XLOOKUP(C187,'TTB Reporting'!D:D,'TTB Reporting'!J:J,FALSE)</f>
        <v>PVS 70-22-00-08</v>
      </c>
    </row>
    <row r="188" spans="1:8">
      <c r="A188" s="158">
        <v>45567</v>
      </c>
      <c r="B188" s="159" t="s">
        <v>667</v>
      </c>
      <c r="C188" s="159" t="s">
        <v>240</v>
      </c>
      <c r="D188" s="163">
        <v>4</v>
      </c>
      <c r="E188" s="163">
        <v>4</v>
      </c>
      <c r="F188" s="161" t="s">
        <v>486</v>
      </c>
      <c r="G188" s="162"/>
      <c r="H188" t="str">
        <f>_xlfn.XLOOKUP(C188,'TTB Reporting'!D:D,'TTB Reporting'!J:J,FALSE)</f>
        <v>PVS 70-22-00-08</v>
      </c>
    </row>
    <row r="189" spans="1:8">
      <c r="A189" s="158">
        <v>45568</v>
      </c>
      <c r="B189" s="159" t="s">
        <v>667</v>
      </c>
      <c r="C189" s="159" t="s">
        <v>241</v>
      </c>
      <c r="D189" s="163">
        <v>3</v>
      </c>
      <c r="E189" s="163">
        <v>3</v>
      </c>
      <c r="F189" s="161" t="s">
        <v>483</v>
      </c>
      <c r="G189" s="162" t="s">
        <v>669</v>
      </c>
      <c r="H189" s="175" t="str">
        <f>_xlfn.XLOOKUP(C189,'TTB Reporting'!D:D,'TTB Reporting'!J:J,FALSE)</f>
        <v>PVS 70-22-00-08</v>
      </c>
    </row>
    <row r="190" spans="1:8">
      <c r="A190" s="158">
        <v>45568</v>
      </c>
      <c r="B190" s="159" t="s">
        <v>667</v>
      </c>
      <c r="C190" s="159" t="s">
        <v>241</v>
      </c>
      <c r="D190" s="163">
        <v>3</v>
      </c>
      <c r="E190" s="163">
        <v>4</v>
      </c>
      <c r="F190" s="161" t="s">
        <v>486</v>
      </c>
      <c r="G190" s="162" t="s">
        <v>670</v>
      </c>
      <c r="H190" s="175" t="str">
        <f>_xlfn.XLOOKUP(C190,'TTB Reporting'!D:D,'TTB Reporting'!J:J,FALSE)</f>
        <v>PVS 70-22-00-08</v>
      </c>
    </row>
    <row r="191" spans="1:8">
      <c r="A191" s="158">
        <v>45568</v>
      </c>
      <c r="B191" s="159" t="s">
        <v>667</v>
      </c>
      <c r="C191" s="159" t="s">
        <v>242</v>
      </c>
      <c r="D191" s="163">
        <v>3</v>
      </c>
      <c r="E191" s="163">
        <v>4</v>
      </c>
      <c r="F191" s="161" t="s">
        <v>483</v>
      </c>
      <c r="G191" s="162" t="s">
        <v>669</v>
      </c>
      <c r="H191" s="175" t="str">
        <f>_xlfn.XLOOKUP(C191,'TTB Reporting'!D:D,'TTB Reporting'!J:J,FALSE)</f>
        <v>PVS 70-22-00-08</v>
      </c>
    </row>
    <row r="192" spans="1:8">
      <c r="A192" s="158">
        <v>45568</v>
      </c>
      <c r="B192" s="159" t="s">
        <v>667</v>
      </c>
      <c r="C192" s="159" t="s">
        <v>242</v>
      </c>
      <c r="D192" s="163">
        <v>3</v>
      </c>
      <c r="E192" s="163">
        <v>4</v>
      </c>
      <c r="F192" s="161" t="s">
        <v>486</v>
      </c>
      <c r="G192" s="162" t="s">
        <v>670</v>
      </c>
      <c r="H192" s="175" t="str">
        <f>_xlfn.XLOOKUP(C192,'TTB Reporting'!D:D,'TTB Reporting'!J:J,FALSE)</f>
        <v>PVS 70-22-00-08</v>
      </c>
    </row>
    <row r="193" spans="1:8">
      <c r="A193" s="158">
        <v>45568</v>
      </c>
      <c r="B193" s="159" t="s">
        <v>553</v>
      </c>
      <c r="C193" s="159" t="s">
        <v>671</v>
      </c>
      <c r="D193" s="163">
        <v>4</v>
      </c>
      <c r="E193" s="163">
        <v>4</v>
      </c>
      <c r="F193" s="161" t="s">
        <v>483</v>
      </c>
      <c r="G193" s="162" t="s">
        <v>672</v>
      </c>
      <c r="H193" t="b">
        <f>_xlfn.XLOOKUP(C193,'TTB Reporting'!D:D,'TTB Reporting'!J:J,FALSE)</f>
        <v>0</v>
      </c>
    </row>
    <row r="194" spans="1:8">
      <c r="A194" s="158">
        <v>45568</v>
      </c>
      <c r="B194" s="159" t="s">
        <v>553</v>
      </c>
      <c r="C194" s="159" t="s">
        <v>671</v>
      </c>
      <c r="D194" s="163">
        <v>4</v>
      </c>
      <c r="E194" s="163">
        <v>4</v>
      </c>
      <c r="F194" s="161" t="s">
        <v>486</v>
      </c>
      <c r="G194" s="162" t="s">
        <v>673</v>
      </c>
      <c r="H194" t="b">
        <f>_xlfn.XLOOKUP(C194,'TTB Reporting'!D:D,'TTB Reporting'!J:J,FALSE)</f>
        <v>0</v>
      </c>
    </row>
    <row r="195" spans="1:8">
      <c r="A195" s="158">
        <v>45569</v>
      </c>
      <c r="B195" s="159" t="s">
        <v>656</v>
      </c>
      <c r="C195" s="159" t="s">
        <v>236</v>
      </c>
      <c r="D195" s="163">
        <v>4</v>
      </c>
      <c r="E195" s="163">
        <v>4</v>
      </c>
      <c r="F195" s="161" t="s">
        <v>483</v>
      </c>
      <c r="G195" s="162" t="s">
        <v>674</v>
      </c>
      <c r="H195" t="str">
        <f>_xlfn.XLOOKUP(C195,'TTB Reporting'!D:D,'TTB Reporting'!J:J,FALSE)</f>
        <v>LSS 73-18-00-09</v>
      </c>
    </row>
    <row r="196" spans="1:8">
      <c r="A196" s="158">
        <v>45569</v>
      </c>
      <c r="B196" s="159" t="s">
        <v>656</v>
      </c>
      <c r="C196" s="159" t="s">
        <v>236</v>
      </c>
      <c r="D196" s="163">
        <v>4</v>
      </c>
      <c r="E196" s="163">
        <v>4</v>
      </c>
      <c r="F196" s="161" t="s">
        <v>486</v>
      </c>
      <c r="G196" s="162" t="s">
        <v>675</v>
      </c>
      <c r="H196" t="str">
        <f>_xlfn.XLOOKUP(C196,'TTB Reporting'!D:D,'TTB Reporting'!J:J,FALSE)</f>
        <v>LSS 73-18-00-09</v>
      </c>
    </row>
    <row r="197" spans="1:8">
      <c r="A197" s="158">
        <v>45569</v>
      </c>
      <c r="B197" s="159" t="s">
        <v>553</v>
      </c>
      <c r="C197" s="159" t="s">
        <v>238</v>
      </c>
      <c r="D197" s="163">
        <v>4</v>
      </c>
      <c r="E197" s="163">
        <v>4</v>
      </c>
      <c r="F197" s="161" t="s">
        <v>483</v>
      </c>
      <c r="G197" s="162" t="s">
        <v>676</v>
      </c>
      <c r="H197" t="str">
        <f>_xlfn.XLOOKUP(C197,'TTB Reporting'!D:D,'TTB Reporting'!J:J,FALSE)</f>
        <v>WHK 73-18-00-09</v>
      </c>
    </row>
    <row r="198" spans="1:8">
      <c r="A198" s="158">
        <v>45569</v>
      </c>
      <c r="B198" s="159" t="s">
        <v>553</v>
      </c>
      <c r="C198" s="159" t="s">
        <v>238</v>
      </c>
      <c r="D198" s="163">
        <v>4</v>
      </c>
      <c r="E198" s="163">
        <v>4</v>
      </c>
      <c r="F198" s="161" t="s">
        <v>486</v>
      </c>
      <c r="G198" s="162" t="s">
        <v>677</v>
      </c>
      <c r="H198" t="str">
        <f>_xlfn.XLOOKUP(C198,'TTB Reporting'!D:D,'TTB Reporting'!J:J,FALSE)</f>
        <v>WHK 73-18-00-09</v>
      </c>
    </row>
    <row r="199" spans="1:8">
      <c r="A199" s="158">
        <v>45569</v>
      </c>
      <c r="B199" s="159" t="s">
        <v>667</v>
      </c>
      <c r="C199" s="159" t="s">
        <v>245</v>
      </c>
      <c r="D199" s="163">
        <v>4</v>
      </c>
      <c r="E199" s="163">
        <v>4</v>
      </c>
      <c r="F199" s="161" t="s">
        <v>483</v>
      </c>
      <c r="G199" s="162" t="s">
        <v>678</v>
      </c>
      <c r="H199" t="str">
        <f>_xlfn.XLOOKUP(C199,'TTB Reporting'!D:D,'TTB Reporting'!J:J,FALSE)</f>
        <v>PVS 00-95-00-05</v>
      </c>
    </row>
    <row r="200" spans="1:8">
      <c r="A200" s="158">
        <v>45569</v>
      </c>
      <c r="B200" s="159" t="s">
        <v>667</v>
      </c>
      <c r="C200" s="159" t="s">
        <v>245</v>
      </c>
      <c r="D200" s="163">
        <v>4</v>
      </c>
      <c r="E200" s="163">
        <v>4</v>
      </c>
      <c r="F200" s="161" t="s">
        <v>486</v>
      </c>
      <c r="G200" s="162" t="s">
        <v>679</v>
      </c>
      <c r="H200" t="str">
        <f>_xlfn.XLOOKUP(C200,'TTB Reporting'!D:D,'TTB Reporting'!J:J,FALSE)</f>
        <v>PVS 00-95-00-05</v>
      </c>
    </row>
    <row r="201" spans="1:8">
      <c r="A201" s="158">
        <v>45569</v>
      </c>
      <c r="B201" s="159" t="s">
        <v>667</v>
      </c>
      <c r="C201" s="159" t="s">
        <v>246</v>
      </c>
      <c r="D201" s="163">
        <v>4</v>
      </c>
      <c r="E201" s="163">
        <v>4</v>
      </c>
      <c r="F201" s="161" t="s">
        <v>483</v>
      </c>
      <c r="G201" s="162" t="s">
        <v>611</v>
      </c>
      <c r="H201" t="str">
        <f>_xlfn.XLOOKUP(C201,'TTB Reporting'!D:D,'TTB Reporting'!J:J,FALSE)</f>
        <v>PVS 00-95-00-05</v>
      </c>
    </row>
    <row r="202" spans="1:8">
      <c r="A202" s="158">
        <v>45569</v>
      </c>
      <c r="B202" s="159" t="s">
        <v>667</v>
      </c>
      <c r="C202" s="159" t="s">
        <v>246</v>
      </c>
      <c r="D202" s="163">
        <v>4</v>
      </c>
      <c r="E202" s="163">
        <v>4</v>
      </c>
      <c r="F202" s="161" t="s">
        <v>486</v>
      </c>
      <c r="G202" s="162" t="s">
        <v>679</v>
      </c>
      <c r="H202" t="str">
        <f>_xlfn.XLOOKUP(C202,'TTB Reporting'!D:D,'TTB Reporting'!J:J,FALSE)</f>
        <v>PVS 00-95-00-05</v>
      </c>
    </row>
    <row r="203" spans="1:8">
      <c r="A203" s="158">
        <v>45572</v>
      </c>
      <c r="B203" s="159" t="s">
        <v>667</v>
      </c>
      <c r="C203" s="159" t="s">
        <v>248</v>
      </c>
      <c r="D203" s="163">
        <v>4</v>
      </c>
      <c r="E203" s="163">
        <v>4</v>
      </c>
      <c r="F203" s="161" t="s">
        <v>483</v>
      </c>
      <c r="G203" s="162" t="s">
        <v>611</v>
      </c>
      <c r="H203" t="str">
        <f>_xlfn.XLOOKUP(C203,'TTB Reporting'!D:D,'TTB Reporting'!J:J,FALSE)</f>
        <v>PVS 00-95-00-05</v>
      </c>
    </row>
    <row r="204" spans="1:8">
      <c r="A204" s="158">
        <v>45572</v>
      </c>
      <c r="B204" s="159" t="s">
        <v>667</v>
      </c>
      <c r="C204" s="159" t="s">
        <v>248</v>
      </c>
      <c r="D204" s="163">
        <v>4</v>
      </c>
      <c r="E204" s="163">
        <v>4</v>
      </c>
      <c r="F204" s="161" t="s">
        <v>486</v>
      </c>
      <c r="G204" s="162" t="s">
        <v>680</v>
      </c>
      <c r="H204" t="str">
        <f>_xlfn.XLOOKUP(C204,'TTB Reporting'!D:D,'TTB Reporting'!J:J,FALSE)</f>
        <v>PVS 00-95-00-05</v>
      </c>
    </row>
    <row r="205" spans="1:8">
      <c r="A205" s="158">
        <v>45572</v>
      </c>
      <c r="B205" s="159" t="s">
        <v>681</v>
      </c>
      <c r="C205" s="159" t="s">
        <v>253</v>
      </c>
      <c r="D205" s="163">
        <v>4</v>
      </c>
      <c r="E205" s="163">
        <v>4</v>
      </c>
      <c r="F205" s="161" t="s">
        <v>483</v>
      </c>
      <c r="G205" s="162"/>
      <c r="H205" t="str">
        <f>_xlfn.XLOOKUP(C205,'TTB Reporting'!D:D,'TTB Reporting'!J:J,FALSE)</f>
        <v>WHK 00-95-00-05</v>
      </c>
    </row>
    <row r="206" spans="1:8">
      <c r="A206" s="158">
        <v>45572</v>
      </c>
      <c r="B206" s="159" t="s">
        <v>681</v>
      </c>
      <c r="C206" s="159" t="s">
        <v>253</v>
      </c>
      <c r="D206" s="163">
        <v>4</v>
      </c>
      <c r="E206" s="163">
        <v>4</v>
      </c>
      <c r="F206" s="161" t="s">
        <v>486</v>
      </c>
      <c r="G206" s="162" t="s">
        <v>680</v>
      </c>
      <c r="H206" t="str">
        <f>_xlfn.XLOOKUP(C206,'TTB Reporting'!D:D,'TTB Reporting'!J:J,FALSE)</f>
        <v>WHK 00-95-00-05</v>
      </c>
    </row>
    <row r="207" spans="1:8">
      <c r="A207" s="158">
        <v>45573</v>
      </c>
      <c r="B207" s="159" t="s">
        <v>682</v>
      </c>
      <c r="C207" s="159" t="s">
        <v>255</v>
      </c>
      <c r="D207" s="163">
        <v>4</v>
      </c>
      <c r="E207" s="163">
        <v>4</v>
      </c>
      <c r="F207" s="161" t="s">
        <v>483</v>
      </c>
      <c r="G207" s="162" t="s">
        <v>683</v>
      </c>
      <c r="H207" t="str">
        <f>_xlfn.XLOOKUP(C207,'TTB Reporting'!D:D,'TTB Reporting'!J:J,FALSE)</f>
        <v>DBC 52-00-36-12</v>
      </c>
    </row>
    <row r="208" spans="1:8">
      <c r="A208" s="158">
        <v>45573</v>
      </c>
      <c r="B208" s="159" t="s">
        <v>682</v>
      </c>
      <c r="C208" s="159" t="s">
        <v>255</v>
      </c>
      <c r="D208" s="163">
        <v>4</v>
      </c>
      <c r="E208" s="163">
        <v>4</v>
      </c>
      <c r="F208" s="161" t="s">
        <v>486</v>
      </c>
      <c r="G208" s="162"/>
      <c r="H208" t="str">
        <f>_xlfn.XLOOKUP(C208,'TTB Reporting'!D:D,'TTB Reporting'!J:J,FALSE)</f>
        <v>DBC 52-00-36-12</v>
      </c>
    </row>
    <row r="209" spans="1:8">
      <c r="A209" s="158">
        <v>45573</v>
      </c>
      <c r="B209" s="159" t="s">
        <v>682</v>
      </c>
      <c r="C209" s="159" t="s">
        <v>257</v>
      </c>
      <c r="D209" s="163">
        <v>4</v>
      </c>
      <c r="E209" s="163">
        <v>4</v>
      </c>
      <c r="F209" s="161" t="s">
        <v>483</v>
      </c>
      <c r="G209" s="162" t="s">
        <v>683</v>
      </c>
      <c r="H209" t="str">
        <f>_xlfn.XLOOKUP(C209,'TTB Reporting'!D:D,'TTB Reporting'!J:J,FALSE)</f>
        <v>DBC 52-00-36-12</v>
      </c>
    </row>
    <row r="210" spans="1:8">
      <c r="A210" s="158">
        <v>45573</v>
      </c>
      <c r="B210" s="159" t="s">
        <v>682</v>
      </c>
      <c r="C210" s="159" t="s">
        <v>257</v>
      </c>
      <c r="D210" s="163">
        <v>4</v>
      </c>
      <c r="E210" s="163">
        <v>4</v>
      </c>
      <c r="F210" s="161" t="s">
        <v>486</v>
      </c>
      <c r="G210" s="162"/>
      <c r="H210" t="str">
        <f>_xlfn.XLOOKUP(C210,'TTB Reporting'!D:D,'TTB Reporting'!J:J,FALSE)</f>
        <v>DBC 52-00-36-12</v>
      </c>
    </row>
    <row r="211" spans="1:8">
      <c r="A211" s="158">
        <v>45573</v>
      </c>
      <c r="B211" s="159" t="s">
        <v>682</v>
      </c>
      <c r="C211" s="159" t="s">
        <v>258</v>
      </c>
      <c r="D211" s="163">
        <v>4</v>
      </c>
      <c r="E211" s="163">
        <v>4</v>
      </c>
      <c r="F211" s="161" t="s">
        <v>483</v>
      </c>
      <c r="G211" s="162" t="s">
        <v>683</v>
      </c>
      <c r="H211" t="str">
        <f>_xlfn.XLOOKUP(C211,'TTB Reporting'!D:D,'TTB Reporting'!J:J,FALSE)</f>
        <v>DBC 52-00-36-12</v>
      </c>
    </row>
    <row r="212" spans="1:8">
      <c r="A212" s="158">
        <v>45573</v>
      </c>
      <c r="B212" s="159" t="s">
        <v>682</v>
      </c>
      <c r="C212" s="159" t="s">
        <v>258</v>
      </c>
      <c r="D212" s="163">
        <v>4</v>
      </c>
      <c r="E212" s="163">
        <v>4</v>
      </c>
      <c r="F212" s="161" t="s">
        <v>486</v>
      </c>
      <c r="G212" s="162"/>
      <c r="H212" t="str">
        <f>_xlfn.XLOOKUP(C212,'TTB Reporting'!D:D,'TTB Reporting'!J:J,FALSE)</f>
        <v>DBC 52-00-36-12</v>
      </c>
    </row>
    <row r="213" spans="1:8">
      <c r="A213" s="158">
        <v>45574</v>
      </c>
      <c r="B213" s="159" t="s">
        <v>682</v>
      </c>
      <c r="C213" s="159" t="s">
        <v>259</v>
      </c>
      <c r="D213" s="163">
        <v>4</v>
      </c>
      <c r="E213" s="163">
        <v>4</v>
      </c>
      <c r="F213" s="161" t="s">
        <v>483</v>
      </c>
      <c r="G213" s="162"/>
      <c r="H213" t="str">
        <f>_xlfn.XLOOKUP(C213,'TTB Reporting'!D:D,'TTB Reporting'!J:J,FALSE)</f>
        <v>DBC 52-00-36-12</v>
      </c>
    </row>
    <row r="214" spans="1:8">
      <c r="A214" s="158">
        <v>45574</v>
      </c>
      <c r="B214" s="159" t="s">
        <v>682</v>
      </c>
      <c r="C214" s="159" t="s">
        <v>259</v>
      </c>
      <c r="D214" s="163">
        <v>4</v>
      </c>
      <c r="E214" s="163">
        <v>4</v>
      </c>
      <c r="F214" s="161" t="s">
        <v>486</v>
      </c>
      <c r="G214" s="162" t="s">
        <v>684</v>
      </c>
      <c r="H214" t="str">
        <f>_xlfn.XLOOKUP(C214,'TTB Reporting'!D:D,'TTB Reporting'!J:J,FALSE)</f>
        <v>DBC 52-00-36-12</v>
      </c>
    </row>
    <row r="215" spans="1:8">
      <c r="A215" s="158">
        <v>45574</v>
      </c>
      <c r="B215" s="159" t="s">
        <v>682</v>
      </c>
      <c r="C215" s="159" t="s">
        <v>260</v>
      </c>
      <c r="D215" s="163">
        <v>4</v>
      </c>
      <c r="E215" s="163">
        <v>4</v>
      </c>
      <c r="F215" s="161" t="s">
        <v>483</v>
      </c>
      <c r="G215" s="162"/>
      <c r="H215" t="str">
        <f>_xlfn.XLOOKUP(C215,'TTB Reporting'!D:D,'TTB Reporting'!J:J,FALSE)</f>
        <v>DBC 52-00-36-12</v>
      </c>
    </row>
    <row r="216" spans="1:8">
      <c r="A216" s="158">
        <v>45574</v>
      </c>
      <c r="B216" s="159" t="s">
        <v>682</v>
      </c>
      <c r="C216" s="159" t="s">
        <v>260</v>
      </c>
      <c r="D216" s="163">
        <v>4</v>
      </c>
      <c r="E216" s="163">
        <v>4</v>
      </c>
      <c r="F216" s="161" t="s">
        <v>486</v>
      </c>
      <c r="G216" s="162"/>
      <c r="H216" t="str">
        <f>_xlfn.XLOOKUP(C216,'TTB Reporting'!D:D,'TTB Reporting'!J:J,FALSE)</f>
        <v>DBC 52-00-36-12</v>
      </c>
    </row>
    <row r="217" spans="1:8">
      <c r="A217" s="158">
        <v>45574</v>
      </c>
      <c r="B217" s="159" t="s">
        <v>682</v>
      </c>
      <c r="C217" s="159" t="s">
        <v>261</v>
      </c>
      <c r="D217" s="163">
        <v>4</v>
      </c>
      <c r="E217" s="163">
        <v>4</v>
      </c>
      <c r="F217" s="161" t="s">
        <v>483</v>
      </c>
      <c r="G217" s="162"/>
      <c r="H217" t="str">
        <f>_xlfn.XLOOKUP(C217,'TTB Reporting'!D:D,'TTB Reporting'!J:J,FALSE)</f>
        <v>DBC 52-00-36-12</v>
      </c>
    </row>
    <row r="218" spans="1:8">
      <c r="A218" s="158">
        <v>45574</v>
      </c>
      <c r="B218" s="159" t="s">
        <v>682</v>
      </c>
      <c r="C218" s="159" t="s">
        <v>261</v>
      </c>
      <c r="D218" s="163">
        <v>4</v>
      </c>
      <c r="E218" s="163">
        <v>4</v>
      </c>
      <c r="F218" s="161" t="s">
        <v>486</v>
      </c>
      <c r="G218" s="162"/>
      <c r="H218" t="str">
        <f>_xlfn.XLOOKUP(C218,'TTB Reporting'!D:D,'TTB Reporting'!J:J,FALSE)</f>
        <v>DBC 52-00-36-12</v>
      </c>
    </row>
    <row r="219" spans="1:8">
      <c r="A219" s="158">
        <v>45576</v>
      </c>
      <c r="B219" s="159" t="s">
        <v>586</v>
      </c>
      <c r="C219" s="159" t="s">
        <v>270</v>
      </c>
      <c r="D219" s="163">
        <v>3</v>
      </c>
      <c r="E219" s="163">
        <v>3</v>
      </c>
      <c r="F219" s="161" t="s">
        <v>483</v>
      </c>
      <c r="G219" s="162" t="s">
        <v>685</v>
      </c>
      <c r="H219" s="175" t="str">
        <f>_xlfn.XLOOKUP(C219,'TTB Reporting'!D:D,'TTB Reporting'!J:J,FALSE)</f>
        <v>ABT 74-00-18-08</v>
      </c>
    </row>
    <row r="220" spans="1:8">
      <c r="A220" s="158">
        <v>45576</v>
      </c>
      <c r="B220" s="159" t="s">
        <v>586</v>
      </c>
      <c r="C220" s="159" t="s">
        <v>270</v>
      </c>
      <c r="D220" s="163">
        <v>3</v>
      </c>
      <c r="E220" s="163">
        <v>3</v>
      </c>
      <c r="F220" s="161" t="s">
        <v>486</v>
      </c>
      <c r="G220" s="162"/>
      <c r="H220" s="175" t="str">
        <f>_xlfn.XLOOKUP(C220,'TTB Reporting'!D:D,'TTB Reporting'!J:J,FALSE)</f>
        <v>ABT 74-00-18-08</v>
      </c>
    </row>
    <row r="221" spans="1:8">
      <c r="A221" s="158">
        <v>45576</v>
      </c>
      <c r="B221" s="159" t="s">
        <v>586</v>
      </c>
      <c r="C221" s="159" t="s">
        <v>271</v>
      </c>
      <c r="D221" s="163">
        <v>3</v>
      </c>
      <c r="E221" s="163">
        <v>3</v>
      </c>
      <c r="F221" s="161" t="s">
        <v>483</v>
      </c>
      <c r="G221" s="162"/>
      <c r="H221" s="175" t="str">
        <f>_xlfn.XLOOKUP(C221,'TTB Reporting'!D:D,'TTB Reporting'!J:J,FALSE)</f>
        <v>ABT 74-00-18-08</v>
      </c>
    </row>
    <row r="222" spans="1:8">
      <c r="A222" s="158">
        <v>45576</v>
      </c>
      <c r="B222" s="159" t="s">
        <v>586</v>
      </c>
      <c r="C222" s="159" t="s">
        <v>271</v>
      </c>
      <c r="D222" s="163">
        <v>3</v>
      </c>
      <c r="E222" s="163">
        <v>3</v>
      </c>
      <c r="F222" s="161" t="s">
        <v>486</v>
      </c>
      <c r="G222" s="162" t="s">
        <v>686</v>
      </c>
      <c r="H222" s="175" t="str">
        <f>_xlfn.XLOOKUP(C222,'TTB Reporting'!D:D,'TTB Reporting'!J:J,FALSE)</f>
        <v>ABT 74-00-18-08</v>
      </c>
    </row>
    <row r="223" spans="1:8">
      <c r="A223" s="158">
        <v>45576</v>
      </c>
      <c r="B223" s="159" t="s">
        <v>682</v>
      </c>
      <c r="C223" s="159" t="s">
        <v>262</v>
      </c>
      <c r="D223" s="163">
        <v>3</v>
      </c>
      <c r="E223" s="163">
        <v>3</v>
      </c>
      <c r="F223" s="161" t="s">
        <v>483</v>
      </c>
      <c r="G223" s="162"/>
      <c r="H223" s="175" t="str">
        <f>_xlfn.XLOOKUP(C223,'TTB Reporting'!D:D,'TTB Reporting'!J:J,FALSE)</f>
        <v>DBC 52-00-36-12</v>
      </c>
    </row>
    <row r="224" spans="1:8">
      <c r="A224" s="158">
        <v>45576</v>
      </c>
      <c r="B224" s="159" t="s">
        <v>682</v>
      </c>
      <c r="C224" s="159" t="s">
        <v>262</v>
      </c>
      <c r="D224" s="163">
        <v>3</v>
      </c>
      <c r="E224" s="163">
        <v>3</v>
      </c>
      <c r="F224" s="161" t="s">
        <v>486</v>
      </c>
      <c r="G224" s="162"/>
      <c r="H224" s="175" t="str">
        <f>_xlfn.XLOOKUP(C224,'TTB Reporting'!D:D,'TTB Reporting'!J:J,FALSE)</f>
        <v>DBC 52-00-36-12</v>
      </c>
    </row>
    <row r="225" spans="1:8">
      <c r="A225" s="158">
        <v>45576</v>
      </c>
      <c r="B225" s="159" t="s">
        <v>553</v>
      </c>
      <c r="C225" s="159" t="s">
        <v>267</v>
      </c>
      <c r="D225" s="163">
        <v>3</v>
      </c>
      <c r="E225" s="163">
        <v>3</v>
      </c>
      <c r="F225" s="161" t="s">
        <v>483</v>
      </c>
      <c r="G225" s="162"/>
      <c r="H225" s="175" t="str">
        <f>_xlfn.XLOOKUP(C225,'TTB Reporting'!D:D,'TTB Reporting'!J:J,FALSE)</f>
        <v>WHK 52-00-36-12</v>
      </c>
    </row>
    <row r="226" spans="1:8">
      <c r="A226" s="158">
        <v>45576</v>
      </c>
      <c r="B226" s="159" t="s">
        <v>553</v>
      </c>
      <c r="C226" s="159" t="s">
        <v>267</v>
      </c>
      <c r="D226" s="163">
        <v>4</v>
      </c>
      <c r="E226" s="163">
        <v>4</v>
      </c>
      <c r="F226" s="161" t="s">
        <v>486</v>
      </c>
      <c r="G226" s="162" t="s">
        <v>687</v>
      </c>
      <c r="H226" t="str">
        <f>_xlfn.XLOOKUP(C226,'TTB Reporting'!D:D,'TTB Reporting'!J:J,FALSE)</f>
        <v>WHK 52-00-36-12</v>
      </c>
    </row>
    <row r="227" spans="1:8">
      <c r="A227" s="158">
        <v>45576</v>
      </c>
      <c r="B227" s="159" t="s">
        <v>586</v>
      </c>
      <c r="C227" s="159" t="s">
        <v>273</v>
      </c>
      <c r="D227" s="163">
        <v>4</v>
      </c>
      <c r="E227" s="163">
        <v>4</v>
      </c>
      <c r="F227" s="161" t="s">
        <v>483</v>
      </c>
      <c r="G227" s="162"/>
      <c r="H227" t="str">
        <f>_xlfn.XLOOKUP(C227,'TTB Reporting'!D:D,'TTB Reporting'!J:J,FALSE)</f>
        <v>ABT 74-00-18-08</v>
      </c>
    </row>
    <row r="228" spans="1:8">
      <c r="A228" s="158">
        <v>45576</v>
      </c>
      <c r="B228" s="159" t="s">
        <v>586</v>
      </c>
      <c r="C228" s="159" t="s">
        <v>273</v>
      </c>
      <c r="D228" s="163">
        <v>4</v>
      </c>
      <c r="E228" s="163">
        <v>4</v>
      </c>
      <c r="F228" s="161" t="s">
        <v>486</v>
      </c>
      <c r="G228" s="162"/>
      <c r="H228" t="str">
        <f>_xlfn.XLOOKUP(C228,'TTB Reporting'!D:D,'TTB Reporting'!J:J,FALSE)</f>
        <v>ABT 74-00-18-08</v>
      </c>
    </row>
    <row r="229" spans="1:8">
      <c r="A229" s="158">
        <v>45576</v>
      </c>
      <c r="B229" s="159" t="s">
        <v>586</v>
      </c>
      <c r="C229" s="159" t="s">
        <v>274</v>
      </c>
      <c r="D229" s="163">
        <v>4</v>
      </c>
      <c r="E229" s="163">
        <v>4</v>
      </c>
      <c r="F229" s="161" t="s">
        <v>483</v>
      </c>
      <c r="G229" s="162"/>
      <c r="H229" t="str">
        <f>_xlfn.XLOOKUP(C229,'TTB Reporting'!D:D,'TTB Reporting'!J:J,FALSE)</f>
        <v>ABT 74-00-18-08</v>
      </c>
    </row>
    <row r="230" spans="1:8">
      <c r="A230" s="158">
        <v>45576</v>
      </c>
      <c r="B230" s="159" t="s">
        <v>586</v>
      </c>
      <c r="C230" s="159" t="s">
        <v>274</v>
      </c>
      <c r="D230" s="163">
        <v>3</v>
      </c>
      <c r="E230" s="163">
        <v>4</v>
      </c>
      <c r="F230" s="161" t="s">
        <v>486</v>
      </c>
      <c r="G230" s="162" t="s">
        <v>688</v>
      </c>
      <c r="H230" s="175" t="str">
        <f>_xlfn.XLOOKUP(C230,'TTB Reporting'!D:D,'TTB Reporting'!J:J,FALSE)</f>
        <v>ABT 74-00-18-08</v>
      </c>
    </row>
    <row r="231" spans="1:8">
      <c r="A231" s="158">
        <v>45579</v>
      </c>
      <c r="B231" s="159" t="s">
        <v>689</v>
      </c>
      <c r="C231" s="159" t="s">
        <v>278</v>
      </c>
      <c r="D231" s="163">
        <v>4</v>
      </c>
      <c r="E231" s="163">
        <v>4</v>
      </c>
      <c r="F231" s="161" t="s">
        <v>483</v>
      </c>
      <c r="G231" s="162"/>
      <c r="H231" t="str">
        <f>_xlfn.XLOOKUP(C231,'TTB Reporting'!D:D,'TTB Reporting'!J:J,FALSE)</f>
        <v>WSC 74-18-00-08</v>
      </c>
    </row>
    <row r="232" spans="1:8">
      <c r="A232" s="158">
        <v>45579</v>
      </c>
      <c r="B232" s="159" t="s">
        <v>689</v>
      </c>
      <c r="C232" s="159" t="s">
        <v>278</v>
      </c>
      <c r="D232" s="163">
        <v>3</v>
      </c>
      <c r="E232" s="163">
        <v>4</v>
      </c>
      <c r="F232" s="161" t="s">
        <v>486</v>
      </c>
      <c r="G232" s="162" t="s">
        <v>690</v>
      </c>
      <c r="H232" s="175" t="str">
        <f>_xlfn.XLOOKUP(C232,'TTB Reporting'!D:D,'TTB Reporting'!J:J,FALSE)</f>
        <v>WSC 74-18-00-08</v>
      </c>
    </row>
    <row r="233" spans="1:8">
      <c r="A233" s="158">
        <v>45579</v>
      </c>
      <c r="B233" s="159" t="s">
        <v>689</v>
      </c>
      <c r="C233" s="159" t="s">
        <v>279</v>
      </c>
      <c r="D233" s="163">
        <v>4</v>
      </c>
      <c r="E233" s="163">
        <v>4</v>
      </c>
      <c r="F233" s="161" t="s">
        <v>483</v>
      </c>
      <c r="G233" s="162"/>
      <c r="H233" t="str">
        <f>_xlfn.XLOOKUP(C233,'TTB Reporting'!D:D,'TTB Reporting'!J:J,FALSE)</f>
        <v>WSC 74-18-00-08</v>
      </c>
    </row>
    <row r="234" spans="1:8">
      <c r="A234" s="158">
        <v>45579</v>
      </c>
      <c r="B234" s="159" t="s">
        <v>689</v>
      </c>
      <c r="C234" s="159" t="s">
        <v>279</v>
      </c>
      <c r="D234" s="163">
        <v>3</v>
      </c>
      <c r="E234" s="163">
        <v>4</v>
      </c>
      <c r="F234" s="161" t="s">
        <v>486</v>
      </c>
      <c r="G234" s="162" t="s">
        <v>690</v>
      </c>
      <c r="H234" s="175" t="str">
        <f>_xlfn.XLOOKUP(C234,'TTB Reporting'!D:D,'TTB Reporting'!J:J,FALSE)</f>
        <v>WSC 74-18-00-08</v>
      </c>
    </row>
    <row r="235" spans="1:8">
      <c r="A235" s="158">
        <v>45580</v>
      </c>
      <c r="B235" s="159" t="s">
        <v>689</v>
      </c>
      <c r="C235" s="159" t="s">
        <v>282</v>
      </c>
      <c r="D235" s="163">
        <v>4</v>
      </c>
      <c r="E235" s="163">
        <v>4</v>
      </c>
      <c r="F235" s="161" t="s">
        <v>483</v>
      </c>
      <c r="G235" s="162"/>
      <c r="H235" t="str">
        <f>_xlfn.XLOOKUP(C235,'TTB Reporting'!D:D,'TTB Reporting'!J:J,FALSE)</f>
        <v>WSC 74-18-00-08</v>
      </c>
    </row>
    <row r="236" spans="1:8">
      <c r="A236" s="158">
        <v>45580</v>
      </c>
      <c r="B236" s="159" t="s">
        <v>689</v>
      </c>
      <c r="C236" s="159" t="s">
        <v>282</v>
      </c>
      <c r="D236" s="163">
        <v>4</v>
      </c>
      <c r="E236" s="163">
        <v>4</v>
      </c>
      <c r="F236" s="161" t="s">
        <v>486</v>
      </c>
      <c r="G236" s="162" t="s">
        <v>691</v>
      </c>
      <c r="H236" t="str">
        <f>_xlfn.XLOOKUP(C236,'TTB Reporting'!D:D,'TTB Reporting'!J:J,FALSE)</f>
        <v>WSC 74-18-00-08</v>
      </c>
    </row>
    <row r="237" spans="1:8">
      <c r="A237" s="158">
        <v>45580</v>
      </c>
      <c r="B237" s="159" t="s">
        <v>689</v>
      </c>
      <c r="C237" s="159" t="s">
        <v>283</v>
      </c>
      <c r="D237" s="163">
        <v>4</v>
      </c>
      <c r="E237" s="163">
        <v>4</v>
      </c>
      <c r="F237" s="161" t="s">
        <v>483</v>
      </c>
      <c r="G237" s="162"/>
      <c r="H237" t="str">
        <f>_xlfn.XLOOKUP(C237,'TTB Reporting'!D:D,'TTB Reporting'!J:J,FALSE)</f>
        <v>WSC 74-18-00-08</v>
      </c>
    </row>
    <row r="238" spans="1:8">
      <c r="A238" s="158">
        <v>45580</v>
      </c>
      <c r="B238" s="159" t="s">
        <v>689</v>
      </c>
      <c r="C238" s="159" t="s">
        <v>283</v>
      </c>
      <c r="D238" s="163">
        <v>4</v>
      </c>
      <c r="E238" s="163">
        <v>4</v>
      </c>
      <c r="F238" s="161" t="s">
        <v>486</v>
      </c>
      <c r="G238" s="162" t="s">
        <v>692</v>
      </c>
      <c r="H238" t="str">
        <f>_xlfn.XLOOKUP(C238,'TTB Reporting'!D:D,'TTB Reporting'!J:J,FALSE)</f>
        <v>WSC 74-18-00-08</v>
      </c>
    </row>
    <row r="239" spans="1:8">
      <c r="A239" s="158">
        <v>45581</v>
      </c>
      <c r="B239" s="159" t="s">
        <v>689</v>
      </c>
      <c r="C239" s="159" t="s">
        <v>285</v>
      </c>
      <c r="D239" s="163">
        <v>4</v>
      </c>
      <c r="E239" s="163">
        <v>4</v>
      </c>
      <c r="F239" s="161" t="s">
        <v>483</v>
      </c>
      <c r="G239" s="162"/>
      <c r="H239" t="str">
        <f>_xlfn.XLOOKUP(C239,'TTB Reporting'!D:D,'TTB Reporting'!J:J,FALSE)</f>
        <v>WSC 74-18-00-08</v>
      </c>
    </row>
    <row r="240" spans="1:8">
      <c r="A240" s="158">
        <v>45581</v>
      </c>
      <c r="B240" s="159" t="s">
        <v>689</v>
      </c>
      <c r="C240" s="159" t="s">
        <v>285</v>
      </c>
      <c r="D240" s="163">
        <v>4</v>
      </c>
      <c r="E240" s="163">
        <v>4</v>
      </c>
      <c r="F240" s="161" t="s">
        <v>486</v>
      </c>
      <c r="G240" s="162" t="s">
        <v>693</v>
      </c>
      <c r="H240" t="str">
        <f>_xlfn.XLOOKUP(C240,'TTB Reporting'!D:D,'TTB Reporting'!J:J,FALSE)</f>
        <v>WSC 74-18-00-08</v>
      </c>
    </row>
    <row r="241" spans="1:8">
      <c r="A241" s="158">
        <v>45581</v>
      </c>
      <c r="B241" s="159" t="s">
        <v>689</v>
      </c>
      <c r="C241" s="159" t="s">
        <v>286</v>
      </c>
      <c r="D241" s="163">
        <v>3</v>
      </c>
      <c r="E241" s="163">
        <v>4</v>
      </c>
      <c r="F241" s="161" t="s">
        <v>483</v>
      </c>
      <c r="G241" s="162"/>
      <c r="H241" s="175" t="str">
        <f>_xlfn.XLOOKUP(C241,'TTB Reporting'!D:D,'TTB Reporting'!J:J,FALSE)</f>
        <v>WSC 74-18-00-08</v>
      </c>
    </row>
    <row r="242" spans="1:8">
      <c r="A242" s="158">
        <v>45581</v>
      </c>
      <c r="B242" s="159" t="s">
        <v>689</v>
      </c>
      <c r="C242" s="159" t="s">
        <v>286</v>
      </c>
      <c r="D242" s="163">
        <v>4</v>
      </c>
      <c r="E242" s="163">
        <v>4</v>
      </c>
      <c r="F242" s="161" t="s">
        <v>486</v>
      </c>
      <c r="G242" s="162" t="s">
        <v>694</v>
      </c>
      <c r="H242" t="str">
        <f>_xlfn.XLOOKUP(C242,'TTB Reporting'!D:D,'TTB Reporting'!J:J,FALSE)</f>
        <v>WSC 74-18-00-08</v>
      </c>
    </row>
    <row r="243" spans="1:8">
      <c r="A243" s="158">
        <v>45582</v>
      </c>
      <c r="B243" s="159" t="s">
        <v>689</v>
      </c>
      <c r="C243" s="159" t="s">
        <v>288</v>
      </c>
      <c r="D243" s="163">
        <v>3</v>
      </c>
      <c r="E243" s="163">
        <v>3</v>
      </c>
      <c r="F243" s="161" t="s">
        <v>483</v>
      </c>
      <c r="G243" s="162"/>
      <c r="H243" s="175" t="str">
        <f>_xlfn.XLOOKUP(C243,'TTB Reporting'!D:D,'TTB Reporting'!J:J,FALSE)</f>
        <v>WSC 74-18-00-08</v>
      </c>
    </row>
    <row r="244" spans="1:8">
      <c r="A244" s="158">
        <v>45582</v>
      </c>
      <c r="B244" s="159" t="s">
        <v>689</v>
      </c>
      <c r="C244" s="159" t="s">
        <v>288</v>
      </c>
      <c r="D244" s="163">
        <v>3</v>
      </c>
      <c r="E244" s="163">
        <v>3</v>
      </c>
      <c r="F244" s="161" t="s">
        <v>486</v>
      </c>
      <c r="G244" s="162" t="s">
        <v>695</v>
      </c>
      <c r="H244" s="175" t="str">
        <f>_xlfn.XLOOKUP(C244,'TTB Reporting'!D:D,'TTB Reporting'!J:J,FALSE)</f>
        <v>WSC 74-18-00-08</v>
      </c>
    </row>
    <row r="245" spans="1:8">
      <c r="A245" s="158">
        <v>45582</v>
      </c>
      <c r="B245" s="159" t="s">
        <v>689</v>
      </c>
      <c r="C245" s="159" t="s">
        <v>290</v>
      </c>
      <c r="D245" s="163">
        <v>3</v>
      </c>
      <c r="E245" s="163">
        <v>3</v>
      </c>
      <c r="F245" s="161" t="s">
        <v>483</v>
      </c>
      <c r="G245" s="162"/>
      <c r="H245" s="175" t="str">
        <f>_xlfn.XLOOKUP(C245,'TTB Reporting'!D:D,'TTB Reporting'!J:J,FALSE)</f>
        <v>WSC 74-18-00-08</v>
      </c>
    </row>
    <row r="246" spans="1:8">
      <c r="A246" s="158">
        <v>45582</v>
      </c>
      <c r="B246" s="159" t="s">
        <v>689</v>
      </c>
      <c r="C246" s="159" t="s">
        <v>290</v>
      </c>
      <c r="D246" s="163">
        <v>3</v>
      </c>
      <c r="E246" s="163">
        <v>3</v>
      </c>
      <c r="F246" s="161" t="s">
        <v>486</v>
      </c>
      <c r="G246" s="162" t="s">
        <v>696</v>
      </c>
      <c r="H246" s="175" t="str">
        <f>_xlfn.XLOOKUP(C246,'TTB Reporting'!D:D,'TTB Reporting'!J:J,FALSE)</f>
        <v>WSC 74-18-00-08</v>
      </c>
    </row>
    <row r="247" spans="1:8">
      <c r="A247" s="158">
        <v>45583</v>
      </c>
      <c r="B247" s="159" t="s">
        <v>689</v>
      </c>
      <c r="C247" s="159" t="s">
        <v>292</v>
      </c>
      <c r="D247" s="163">
        <v>4</v>
      </c>
      <c r="E247" s="163">
        <v>4</v>
      </c>
      <c r="F247" s="161" t="s">
        <v>483</v>
      </c>
      <c r="G247" s="162"/>
      <c r="H247" t="str">
        <f>_xlfn.XLOOKUP(C247,'TTB Reporting'!D:D,'TTB Reporting'!J:J,FALSE)</f>
        <v>WSC 74-18-00-08</v>
      </c>
    </row>
    <row r="248" spans="1:8">
      <c r="A248" s="158">
        <v>45583</v>
      </c>
      <c r="B248" s="159" t="s">
        <v>689</v>
      </c>
      <c r="C248" s="159" t="s">
        <v>292</v>
      </c>
      <c r="D248" s="163">
        <v>4</v>
      </c>
      <c r="E248" s="163">
        <v>4</v>
      </c>
      <c r="F248" s="161" t="s">
        <v>486</v>
      </c>
      <c r="G248" s="162"/>
      <c r="H248" t="str">
        <f>_xlfn.XLOOKUP(C248,'TTB Reporting'!D:D,'TTB Reporting'!J:J,FALSE)</f>
        <v>WSC 74-18-00-08</v>
      </c>
    </row>
    <row r="249" spans="1:8">
      <c r="A249" s="158">
        <v>45583</v>
      </c>
      <c r="B249" s="159" t="s">
        <v>689</v>
      </c>
      <c r="C249" s="159" t="s">
        <v>293</v>
      </c>
      <c r="D249" s="163">
        <v>4</v>
      </c>
      <c r="E249" s="163">
        <v>4</v>
      </c>
      <c r="F249" s="161" t="s">
        <v>483</v>
      </c>
      <c r="G249" s="162"/>
      <c r="H249" t="str">
        <f>_xlfn.XLOOKUP(C249,'TTB Reporting'!D:D,'TTB Reporting'!J:J,FALSE)</f>
        <v>WSC 74-18-00-08</v>
      </c>
    </row>
    <row r="250" spans="1:8">
      <c r="A250" s="158">
        <v>45583</v>
      </c>
      <c r="B250" s="159" t="s">
        <v>689</v>
      </c>
      <c r="C250" s="159" t="s">
        <v>293</v>
      </c>
      <c r="D250" s="163">
        <v>4</v>
      </c>
      <c r="E250" s="163">
        <v>4</v>
      </c>
      <c r="F250" s="161" t="s">
        <v>486</v>
      </c>
      <c r="G250" s="162" t="s">
        <v>697</v>
      </c>
      <c r="H250" t="str">
        <f>_xlfn.XLOOKUP(C250,'TTB Reporting'!D:D,'TTB Reporting'!J:J,FALSE)</f>
        <v>WSC 74-18-00-08</v>
      </c>
    </row>
    <row r="251" spans="1:8">
      <c r="A251" s="158">
        <v>45583</v>
      </c>
      <c r="B251" s="159" t="s">
        <v>689</v>
      </c>
      <c r="C251" s="159" t="s">
        <v>294</v>
      </c>
      <c r="D251" s="163">
        <v>4</v>
      </c>
      <c r="E251" s="163">
        <v>4</v>
      </c>
      <c r="F251" s="161" t="s">
        <v>483</v>
      </c>
      <c r="G251" s="162"/>
      <c r="H251" t="str">
        <f>_xlfn.XLOOKUP(C251,'TTB Reporting'!D:D,'TTB Reporting'!J:J,FALSE)</f>
        <v>WSC 74-18-00-08</v>
      </c>
    </row>
    <row r="252" spans="1:8">
      <c r="A252" s="158">
        <v>45583</v>
      </c>
      <c r="B252" s="159" t="s">
        <v>689</v>
      </c>
      <c r="C252" s="159" t="s">
        <v>294</v>
      </c>
      <c r="D252" s="163">
        <v>4</v>
      </c>
      <c r="E252" s="163">
        <v>4</v>
      </c>
      <c r="F252" s="161" t="s">
        <v>486</v>
      </c>
      <c r="G252" s="162"/>
      <c r="H252" t="str">
        <f>_xlfn.XLOOKUP(C252,'TTB Reporting'!D:D,'TTB Reporting'!J:J,FALSE)</f>
        <v>WSC 74-18-00-08</v>
      </c>
    </row>
    <row r="253" spans="1:8">
      <c r="A253" s="158">
        <v>45586</v>
      </c>
      <c r="B253" s="159"/>
      <c r="C253" s="159" t="s">
        <v>295</v>
      </c>
      <c r="D253" s="163">
        <v>4</v>
      </c>
      <c r="E253" s="163">
        <v>4</v>
      </c>
      <c r="F253" s="161" t="s">
        <v>483</v>
      </c>
      <c r="G253" s="162"/>
      <c r="H253" t="str">
        <f>_xlfn.XLOOKUP(C253,'TTB Reporting'!D:D,'TTB Reporting'!J:J,FALSE)</f>
        <v>WSC 74-18-00-08</v>
      </c>
    </row>
    <row r="254" spans="1:8">
      <c r="A254" s="158">
        <v>45586</v>
      </c>
      <c r="B254" s="159"/>
      <c r="C254" s="159" t="s">
        <v>295</v>
      </c>
      <c r="D254" s="163">
        <v>4</v>
      </c>
      <c r="E254" s="163">
        <v>4</v>
      </c>
      <c r="F254" s="161" t="s">
        <v>486</v>
      </c>
      <c r="G254" s="162" t="s">
        <v>698</v>
      </c>
      <c r="H254" t="str">
        <f>_xlfn.XLOOKUP(C254,'TTB Reporting'!D:D,'TTB Reporting'!J:J,FALSE)</f>
        <v>WSC 74-18-00-08</v>
      </c>
    </row>
    <row r="255" spans="1:8">
      <c r="A255" s="158">
        <v>45586</v>
      </c>
      <c r="B255" s="159"/>
      <c r="C255" s="159" t="s">
        <v>296</v>
      </c>
      <c r="D255" s="163">
        <v>4</v>
      </c>
      <c r="E255" s="163">
        <v>4</v>
      </c>
      <c r="F255" s="161" t="s">
        <v>483</v>
      </c>
      <c r="G255" s="162"/>
      <c r="H255" t="str">
        <f>_xlfn.XLOOKUP(C255,'TTB Reporting'!D:D,'TTB Reporting'!J:J,FALSE)</f>
        <v>WSC 74-18-00-08</v>
      </c>
    </row>
    <row r="256" spans="1:8">
      <c r="A256" s="158">
        <v>45586</v>
      </c>
      <c r="B256" s="159"/>
      <c r="C256" s="159" t="s">
        <v>296</v>
      </c>
      <c r="D256" s="163">
        <v>4</v>
      </c>
      <c r="E256" s="163">
        <v>4</v>
      </c>
      <c r="F256" s="161" t="s">
        <v>486</v>
      </c>
      <c r="G256" s="162" t="s">
        <v>699</v>
      </c>
      <c r="H256" t="str">
        <f>_xlfn.XLOOKUP(C256,'TTB Reporting'!D:D,'TTB Reporting'!J:J,FALSE)</f>
        <v>WSC 74-18-00-08</v>
      </c>
    </row>
    <row r="257" spans="1:8">
      <c r="A257" s="158">
        <v>45587</v>
      </c>
      <c r="B257" s="159" t="s">
        <v>586</v>
      </c>
      <c r="C257" s="159" t="s">
        <v>297</v>
      </c>
      <c r="D257" s="163">
        <v>3</v>
      </c>
      <c r="E257" s="163">
        <v>3</v>
      </c>
      <c r="F257" s="161" t="s">
        <v>483</v>
      </c>
      <c r="G257" s="162"/>
      <c r="H257" s="175" t="str">
        <f>_xlfn.XLOOKUP(C257,'TTB Reporting'!D:D,'TTB Reporting'!J:J,FALSE)</f>
        <v>ABT 74-18-00-08</v>
      </c>
    </row>
    <row r="258" spans="1:8">
      <c r="A258" s="158">
        <v>45587</v>
      </c>
      <c r="B258" s="159" t="s">
        <v>586</v>
      </c>
      <c r="C258" s="159" t="s">
        <v>297</v>
      </c>
      <c r="D258" s="163">
        <v>3</v>
      </c>
      <c r="E258" s="163">
        <v>3</v>
      </c>
      <c r="F258" s="161" t="s">
        <v>486</v>
      </c>
      <c r="G258" s="162" t="s">
        <v>700</v>
      </c>
      <c r="H258" s="175" t="str">
        <f>_xlfn.XLOOKUP(C258,'TTB Reporting'!D:D,'TTB Reporting'!J:J,FALSE)</f>
        <v>ABT 74-18-00-08</v>
      </c>
    </row>
    <row r="259" spans="1:8">
      <c r="A259" s="158">
        <v>45587</v>
      </c>
      <c r="B259" s="159" t="s">
        <v>586</v>
      </c>
      <c r="C259" s="159" t="s">
        <v>298</v>
      </c>
      <c r="D259" s="163">
        <v>3</v>
      </c>
      <c r="E259" s="163">
        <v>3</v>
      </c>
      <c r="F259" s="161" t="s">
        <v>483</v>
      </c>
      <c r="G259" s="162"/>
      <c r="H259" s="175" t="str">
        <f>_xlfn.XLOOKUP(C259,'TTB Reporting'!D:D,'TTB Reporting'!J:J,FALSE)</f>
        <v>ABT 74-18-00-08</v>
      </c>
    </row>
    <row r="260" spans="1:8">
      <c r="A260" s="158">
        <v>45587</v>
      </c>
      <c r="B260" s="159" t="s">
        <v>586</v>
      </c>
      <c r="C260" s="159" t="s">
        <v>298</v>
      </c>
      <c r="D260" s="163">
        <v>3</v>
      </c>
      <c r="E260" s="163">
        <v>3</v>
      </c>
      <c r="F260" s="161" t="s">
        <v>486</v>
      </c>
      <c r="G260" s="162" t="s">
        <v>701</v>
      </c>
      <c r="H260" s="175" t="str">
        <f>_xlfn.XLOOKUP(C260,'TTB Reporting'!D:D,'TTB Reporting'!J:J,FALSE)</f>
        <v>ABT 74-18-00-08</v>
      </c>
    </row>
    <row r="261" spans="1:8">
      <c r="A261" s="158">
        <v>45587</v>
      </c>
      <c r="B261" s="159" t="s">
        <v>586</v>
      </c>
      <c r="C261" s="159" t="s">
        <v>299</v>
      </c>
      <c r="D261" s="163">
        <v>3</v>
      </c>
      <c r="E261" s="163">
        <v>3</v>
      </c>
      <c r="F261" s="161" t="s">
        <v>483</v>
      </c>
      <c r="G261" s="162"/>
      <c r="H261" s="175" t="str">
        <f>_xlfn.XLOOKUP(C261,'TTB Reporting'!D:D,'TTB Reporting'!J:J,FALSE)</f>
        <v>ABT 74-18-00-08</v>
      </c>
    </row>
    <row r="262" spans="1:8">
      <c r="A262" s="158">
        <v>45587</v>
      </c>
      <c r="B262" s="159" t="s">
        <v>586</v>
      </c>
      <c r="C262" s="159" t="s">
        <v>299</v>
      </c>
      <c r="D262" s="163">
        <v>3</v>
      </c>
      <c r="E262" s="163">
        <v>3</v>
      </c>
      <c r="F262" s="161" t="s">
        <v>486</v>
      </c>
      <c r="G262" s="162" t="s">
        <v>702</v>
      </c>
      <c r="H262" s="175" t="str">
        <f>_xlfn.XLOOKUP(C262,'TTB Reporting'!D:D,'TTB Reporting'!J:J,FALSE)</f>
        <v>ABT 74-18-00-08</v>
      </c>
    </row>
    <row r="263" spans="1:8">
      <c r="A263" s="158">
        <v>45588</v>
      </c>
      <c r="B263" s="159" t="s">
        <v>586</v>
      </c>
      <c r="C263" s="159" t="s">
        <v>300</v>
      </c>
      <c r="D263" s="163">
        <v>3</v>
      </c>
      <c r="E263" s="163">
        <v>4</v>
      </c>
      <c r="F263" s="161" t="s">
        <v>483</v>
      </c>
      <c r="G263" s="162"/>
      <c r="H263" t="str">
        <f>_xlfn.XLOOKUP(C263,'TTB Reporting'!D:D,'TTB Reporting'!J:J,FALSE)</f>
        <v>ABT 74-18-00-08</v>
      </c>
    </row>
    <row r="264" spans="1:8">
      <c r="A264" s="158">
        <v>45588</v>
      </c>
      <c r="B264" s="159" t="s">
        <v>586</v>
      </c>
      <c r="C264" s="159" t="s">
        <v>300</v>
      </c>
      <c r="D264" s="161"/>
      <c r="E264" s="161"/>
      <c r="F264" s="161" t="s">
        <v>486</v>
      </c>
      <c r="G264" s="162"/>
      <c r="H264" t="str">
        <f>_xlfn.XLOOKUP(C264,'TTB Reporting'!D:D,'TTB Reporting'!J:J,FALSE)</f>
        <v>ABT 74-18-00-08</v>
      </c>
    </row>
    <row r="265" spans="1:8">
      <c r="A265" s="158">
        <v>45588</v>
      </c>
      <c r="B265" s="159" t="s">
        <v>586</v>
      </c>
      <c r="C265" s="159" t="s">
        <v>301</v>
      </c>
      <c r="D265" s="163">
        <v>3</v>
      </c>
      <c r="E265" s="163">
        <v>4</v>
      </c>
      <c r="F265" s="161" t="s">
        <v>483</v>
      </c>
      <c r="G265" s="162"/>
      <c r="H265" s="175" t="str">
        <f>_xlfn.XLOOKUP(C265,'TTB Reporting'!D:D,'TTB Reporting'!J:J,FALSE)</f>
        <v>ABT 74-18-00-08</v>
      </c>
    </row>
    <row r="266" spans="1:8">
      <c r="A266" s="158">
        <v>45588</v>
      </c>
      <c r="B266" s="159" t="s">
        <v>586</v>
      </c>
      <c r="C266" s="159" t="s">
        <v>301</v>
      </c>
      <c r="D266" s="161"/>
      <c r="E266" s="161"/>
      <c r="F266" s="161" t="s">
        <v>486</v>
      </c>
      <c r="G266" s="162"/>
      <c r="H266" t="str">
        <f>_xlfn.XLOOKUP(C266,'TTB Reporting'!D:D,'TTB Reporting'!J:J,FALSE)</f>
        <v>ABT 74-18-00-08</v>
      </c>
    </row>
    <row r="267" spans="1:8">
      <c r="A267" s="158">
        <v>45588</v>
      </c>
      <c r="B267" s="159" t="s">
        <v>553</v>
      </c>
      <c r="C267" s="159" t="s">
        <v>703</v>
      </c>
      <c r="D267" s="163">
        <v>3</v>
      </c>
      <c r="E267" s="163">
        <v>4</v>
      </c>
      <c r="F267" s="161" t="s">
        <v>483</v>
      </c>
      <c r="G267" s="162"/>
      <c r="H267" s="175" t="b">
        <f>_xlfn.XLOOKUP(C267,'TTB Reporting'!D:D,'TTB Reporting'!J:J,FALSE)</f>
        <v>0</v>
      </c>
    </row>
    <row r="268" spans="1:8">
      <c r="A268" s="158">
        <v>45588</v>
      </c>
      <c r="B268" s="159" t="s">
        <v>553</v>
      </c>
      <c r="C268" s="159" t="s">
        <v>703</v>
      </c>
      <c r="D268" s="161"/>
      <c r="E268" s="161"/>
      <c r="F268" s="161" t="s">
        <v>486</v>
      </c>
      <c r="G268" s="162"/>
      <c r="H268" t="b">
        <f>_xlfn.XLOOKUP(C268,'TTB Reporting'!D:D,'TTB Reporting'!J:J,FALSE)</f>
        <v>0</v>
      </c>
    </row>
    <row r="269" spans="1:8">
      <c r="A269" s="158">
        <v>45589</v>
      </c>
      <c r="B269" s="159" t="s">
        <v>586</v>
      </c>
      <c r="C269" s="159" t="s">
        <v>302</v>
      </c>
      <c r="D269" s="163">
        <v>4</v>
      </c>
      <c r="E269" s="163">
        <v>4</v>
      </c>
      <c r="F269" s="161" t="s">
        <v>483</v>
      </c>
      <c r="G269" s="162"/>
      <c r="H269" t="str">
        <f>_xlfn.XLOOKUP(C269,'TTB Reporting'!D:D,'TTB Reporting'!J:J,FALSE)</f>
        <v>ABT 70-21-00-09</v>
      </c>
    </row>
    <row r="270" spans="1:8">
      <c r="A270" s="158">
        <v>45589</v>
      </c>
      <c r="B270" s="159" t="s">
        <v>586</v>
      </c>
      <c r="C270" s="159" t="s">
        <v>302</v>
      </c>
      <c r="D270" s="161"/>
      <c r="E270" s="161"/>
      <c r="F270" s="161" t="s">
        <v>486</v>
      </c>
      <c r="G270" s="162"/>
      <c r="H270" t="str">
        <f>_xlfn.XLOOKUP(C270,'TTB Reporting'!D:D,'TTB Reporting'!J:J,FALSE)</f>
        <v>ABT 70-21-00-09</v>
      </c>
    </row>
    <row r="271" spans="1:8">
      <c r="A271" s="158">
        <v>45589</v>
      </c>
      <c r="B271" s="159" t="s">
        <v>586</v>
      </c>
      <c r="C271" s="159" t="s">
        <v>303</v>
      </c>
      <c r="D271" s="163">
        <v>4</v>
      </c>
      <c r="E271" s="163">
        <v>4</v>
      </c>
      <c r="F271" s="161" t="s">
        <v>483</v>
      </c>
      <c r="G271" s="162"/>
      <c r="H271" t="str">
        <f>_xlfn.XLOOKUP(C271,'TTB Reporting'!D:D,'TTB Reporting'!J:J,FALSE)</f>
        <v>ABT 70-21-00-09</v>
      </c>
    </row>
    <row r="272" spans="1:8">
      <c r="A272" s="158">
        <v>45589</v>
      </c>
      <c r="B272" s="159" t="s">
        <v>586</v>
      </c>
      <c r="C272" s="159" t="s">
        <v>303</v>
      </c>
      <c r="D272" s="161"/>
      <c r="E272" s="161"/>
      <c r="F272" s="161" t="s">
        <v>486</v>
      </c>
      <c r="G272" s="162"/>
      <c r="H272" t="str">
        <f>_xlfn.XLOOKUP(C272,'TTB Reporting'!D:D,'TTB Reporting'!J:J,FALSE)</f>
        <v>ABT 70-21-00-09</v>
      </c>
    </row>
    <row r="273" spans="1:8">
      <c r="A273" s="158">
        <v>45589</v>
      </c>
      <c r="B273" s="159" t="s">
        <v>586</v>
      </c>
      <c r="C273" s="159" t="s">
        <v>304</v>
      </c>
      <c r="D273" s="163">
        <v>4</v>
      </c>
      <c r="E273" s="163">
        <v>4</v>
      </c>
      <c r="F273" s="161" t="s">
        <v>483</v>
      </c>
      <c r="G273" s="162"/>
      <c r="H273" t="str">
        <f>_xlfn.XLOOKUP(C273,'TTB Reporting'!D:D,'TTB Reporting'!J:J,FALSE)</f>
        <v>ABT 70-21-00-09</v>
      </c>
    </row>
    <row r="274" spans="1:8">
      <c r="A274" s="158">
        <v>45589</v>
      </c>
      <c r="B274" s="159" t="s">
        <v>586</v>
      </c>
      <c r="C274" s="159" t="s">
        <v>304</v>
      </c>
      <c r="D274" s="161"/>
      <c r="E274" s="161"/>
      <c r="F274" s="161" t="s">
        <v>486</v>
      </c>
      <c r="G274" s="162"/>
      <c r="H274" t="str">
        <f>_xlfn.XLOOKUP(C274,'TTB Reporting'!D:D,'TTB Reporting'!J:J,FALSE)</f>
        <v>ABT 70-21-00-09</v>
      </c>
    </row>
    <row r="275" spans="1:8">
      <c r="A275" s="158">
        <v>45591</v>
      </c>
      <c r="B275" s="173" t="s">
        <v>586</v>
      </c>
      <c r="C275" s="159" t="s">
        <v>305</v>
      </c>
      <c r="D275" s="163">
        <v>4</v>
      </c>
      <c r="E275" s="163">
        <v>4</v>
      </c>
      <c r="F275" s="161" t="s">
        <v>483</v>
      </c>
      <c r="G275" s="162"/>
      <c r="H275" t="str">
        <f>_xlfn.XLOOKUP(C275,'TTB Reporting'!D:D,'TTB Reporting'!J:J,FALSE)</f>
        <v>ABT 70-21-00-09</v>
      </c>
    </row>
    <row r="276" spans="1:8">
      <c r="A276" s="158">
        <v>45591</v>
      </c>
      <c r="B276" s="173" t="s">
        <v>586</v>
      </c>
      <c r="C276" s="159" t="s">
        <v>305</v>
      </c>
      <c r="D276" s="161"/>
      <c r="E276" s="161"/>
      <c r="F276" s="161" t="s">
        <v>486</v>
      </c>
      <c r="G276" s="162"/>
      <c r="H276" t="str">
        <f>_xlfn.XLOOKUP(C276,'TTB Reporting'!D:D,'TTB Reporting'!J:J,FALSE)</f>
        <v>ABT 70-21-00-09</v>
      </c>
    </row>
    <row r="277" spans="1:8">
      <c r="A277" s="158">
        <v>45591</v>
      </c>
      <c r="B277" s="173" t="s">
        <v>586</v>
      </c>
      <c r="C277" s="159" t="s">
        <v>306</v>
      </c>
      <c r="D277" s="163">
        <v>4</v>
      </c>
      <c r="E277" s="163">
        <v>4</v>
      </c>
      <c r="F277" s="161" t="s">
        <v>483</v>
      </c>
      <c r="G277" s="162"/>
      <c r="H277" t="str">
        <f>_xlfn.XLOOKUP(C277,'TTB Reporting'!D:D,'TTB Reporting'!J:J,FALSE)</f>
        <v>ABT 70-21-00-09</v>
      </c>
    </row>
    <row r="278" spans="1:8">
      <c r="A278" s="158">
        <v>45591</v>
      </c>
      <c r="B278" s="173" t="s">
        <v>586</v>
      </c>
      <c r="C278" s="159" t="s">
        <v>306</v>
      </c>
      <c r="D278" s="161"/>
      <c r="E278" s="161"/>
      <c r="F278" s="161" t="s">
        <v>486</v>
      </c>
      <c r="G278" s="162"/>
      <c r="H278" t="str">
        <f>_xlfn.XLOOKUP(C278,'TTB Reporting'!D:D,'TTB Reporting'!J:J,FALSE)</f>
        <v>ABT 70-21-00-09</v>
      </c>
    </row>
    <row r="279" spans="1:8">
      <c r="A279" s="158">
        <v>45591</v>
      </c>
      <c r="B279" s="159" t="s">
        <v>704</v>
      </c>
      <c r="C279" s="159" t="s">
        <v>308</v>
      </c>
      <c r="D279" s="163">
        <v>4</v>
      </c>
      <c r="E279" s="163">
        <v>4</v>
      </c>
      <c r="F279" s="161" t="s">
        <v>483</v>
      </c>
      <c r="G279" s="162"/>
      <c r="H279" t="str">
        <f>_xlfn.XLOOKUP(C279,'TTB Reporting'!D:D,'TTB Reporting'!J:J,FALSE)</f>
        <v>BGL 70-21-00-09</v>
      </c>
    </row>
    <row r="280" spans="1:8">
      <c r="A280" s="158">
        <v>45591</v>
      </c>
      <c r="B280" s="159" t="s">
        <v>704</v>
      </c>
      <c r="C280" s="159" t="s">
        <v>308</v>
      </c>
      <c r="D280" s="161"/>
      <c r="E280" s="161"/>
      <c r="F280" s="161" t="s">
        <v>486</v>
      </c>
      <c r="G280" s="162"/>
      <c r="H280" t="str">
        <f>_xlfn.XLOOKUP(C280,'TTB Reporting'!D:D,'TTB Reporting'!J:J,FALSE)</f>
        <v>BGL 70-21-00-09</v>
      </c>
    </row>
    <row r="281" spans="1:8">
      <c r="A281" s="158">
        <v>45591</v>
      </c>
      <c r="B281" s="159" t="s">
        <v>704</v>
      </c>
      <c r="C281" s="159" t="s">
        <v>310</v>
      </c>
      <c r="D281" s="163">
        <v>4</v>
      </c>
      <c r="E281" s="163">
        <v>4</v>
      </c>
      <c r="F281" s="161" t="s">
        <v>483</v>
      </c>
      <c r="G281" s="162"/>
      <c r="H281" t="str">
        <f>_xlfn.XLOOKUP(C281,'TTB Reporting'!D:D,'TTB Reporting'!J:J,FALSE)</f>
        <v>BGL 70-21-00-09</v>
      </c>
    </row>
    <row r="282" spans="1:8">
      <c r="A282" s="158">
        <v>45591</v>
      </c>
      <c r="B282" s="159" t="s">
        <v>704</v>
      </c>
      <c r="C282" s="159" t="s">
        <v>310</v>
      </c>
      <c r="D282" s="161"/>
      <c r="E282" s="161"/>
      <c r="F282" s="161" t="s">
        <v>486</v>
      </c>
      <c r="G282" s="162"/>
      <c r="H282" t="str">
        <f>_xlfn.XLOOKUP(C282,'TTB Reporting'!D:D,'TTB Reporting'!J:J,FALSE)</f>
        <v>BGL 70-21-00-09</v>
      </c>
    </row>
    <row r="283" spans="1:8">
      <c r="A283" s="158">
        <v>45591</v>
      </c>
      <c r="B283" s="159" t="s">
        <v>704</v>
      </c>
      <c r="C283" s="159" t="s">
        <v>311</v>
      </c>
      <c r="D283" s="163">
        <v>4</v>
      </c>
      <c r="E283" s="163">
        <v>4</v>
      </c>
      <c r="F283" s="161" t="s">
        <v>483</v>
      </c>
      <c r="G283" s="162"/>
      <c r="H283" t="str">
        <f>_xlfn.XLOOKUP(C283,'TTB Reporting'!D:D,'TTB Reporting'!J:J,FALSE)</f>
        <v>BGL 70-21-00-09</v>
      </c>
    </row>
    <row r="284" spans="1:8">
      <c r="A284" s="158">
        <v>45591</v>
      </c>
      <c r="B284" s="159" t="s">
        <v>704</v>
      </c>
      <c r="C284" s="159" t="s">
        <v>311</v>
      </c>
      <c r="D284" s="161"/>
      <c r="E284" s="161"/>
      <c r="F284" s="161" t="s">
        <v>486</v>
      </c>
      <c r="G284" s="162"/>
      <c r="H284" t="str">
        <f>_xlfn.XLOOKUP(C284,'TTB Reporting'!D:D,'TTB Reporting'!J:J,FALSE)</f>
        <v>BGL 70-21-00-09</v>
      </c>
    </row>
    <row r="285" spans="1:8">
      <c r="A285" s="158">
        <v>45591</v>
      </c>
      <c r="B285" s="159" t="s">
        <v>704</v>
      </c>
      <c r="C285" s="159" t="s">
        <v>312</v>
      </c>
      <c r="D285" s="163">
        <v>4</v>
      </c>
      <c r="E285" s="163">
        <v>4</v>
      </c>
      <c r="F285" s="161" t="s">
        <v>483</v>
      </c>
      <c r="G285" s="162"/>
      <c r="H285" t="str">
        <f>_xlfn.XLOOKUP(C285,'TTB Reporting'!D:D,'TTB Reporting'!J:J,FALSE)</f>
        <v>BGL 70-21-00-09</v>
      </c>
    </row>
    <row r="286" spans="1:8">
      <c r="A286" s="158">
        <v>45591</v>
      </c>
      <c r="B286" s="159" t="s">
        <v>704</v>
      </c>
      <c r="C286" s="159" t="s">
        <v>312</v>
      </c>
      <c r="D286" s="161"/>
      <c r="E286" s="161"/>
      <c r="F286" s="161" t="s">
        <v>486</v>
      </c>
      <c r="G286" s="162"/>
      <c r="H286" t="str">
        <f>_xlfn.XLOOKUP(C286,'TTB Reporting'!D:D,'TTB Reporting'!J:J,FALSE)</f>
        <v>BGL 70-21-00-09</v>
      </c>
    </row>
  </sheetData>
  <autoFilter ref="A1:H286" xr:uid="{2720FA36-578D-FF44-8732-D4F36123A50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4672-3C8F-4477-92D9-9DC62A83776C}">
  <sheetPr codeName="Sheet3"/>
  <dimension ref="A1:F34"/>
  <sheetViews>
    <sheetView workbookViewId="0">
      <selection activeCell="F16" sqref="F16"/>
    </sheetView>
  </sheetViews>
  <sheetFormatPr defaultColWidth="8.7109375" defaultRowHeight="15"/>
  <cols>
    <col min="1" max="1" width="15.140625" customWidth="1"/>
    <col min="3" max="3" width="17.7109375" bestFit="1" customWidth="1"/>
    <col min="5" max="5" width="19.28515625" customWidth="1"/>
    <col min="6" max="6" width="15.42578125" customWidth="1"/>
  </cols>
  <sheetData>
    <row r="1" spans="1:6">
      <c r="A1" t="s">
        <v>378</v>
      </c>
      <c r="C1" t="s">
        <v>225</v>
      </c>
      <c r="E1" t="s">
        <v>105</v>
      </c>
      <c r="F1" t="s">
        <v>705</v>
      </c>
    </row>
    <row r="2" spans="1:6">
      <c r="A2" t="s">
        <v>39</v>
      </c>
      <c r="C2" t="s">
        <v>706</v>
      </c>
      <c r="E2" t="s">
        <v>43</v>
      </c>
      <c r="F2" t="s">
        <v>46</v>
      </c>
    </row>
    <row r="3" spans="1:6">
      <c r="A3" t="s">
        <v>391</v>
      </c>
      <c r="C3" t="s">
        <v>707</v>
      </c>
      <c r="E3" t="s">
        <v>34</v>
      </c>
      <c r="F3" t="s">
        <v>36</v>
      </c>
    </row>
    <row r="4" spans="1:6">
      <c r="A4" t="s">
        <v>708</v>
      </c>
      <c r="C4" t="s">
        <v>709</v>
      </c>
      <c r="E4" t="s">
        <v>45</v>
      </c>
    </row>
    <row r="5" spans="1:6">
      <c r="A5" t="s">
        <v>710</v>
      </c>
      <c r="C5" t="s">
        <v>35</v>
      </c>
      <c r="E5" t="s">
        <v>66</v>
      </c>
    </row>
    <row r="6" spans="1:6">
      <c r="A6" t="s">
        <v>711</v>
      </c>
      <c r="C6" t="s">
        <v>137</v>
      </c>
      <c r="E6" t="s">
        <v>712</v>
      </c>
    </row>
    <row r="7" spans="1:6">
      <c r="A7" t="s">
        <v>713</v>
      </c>
      <c r="C7" t="s">
        <v>157</v>
      </c>
    </row>
    <row r="8" spans="1:6">
      <c r="A8" t="s">
        <v>714</v>
      </c>
      <c r="C8" t="s">
        <v>715</v>
      </c>
    </row>
    <row r="9" spans="1:6">
      <c r="A9" t="s">
        <v>716</v>
      </c>
    </row>
    <row r="10" spans="1:6">
      <c r="A10" t="s">
        <v>717</v>
      </c>
    </row>
    <row r="11" spans="1:6">
      <c r="A11" t="s">
        <v>718</v>
      </c>
    </row>
    <row r="12" spans="1:6">
      <c r="A12" t="s">
        <v>719</v>
      </c>
    </row>
    <row r="13" spans="1:6">
      <c r="A13" t="s">
        <v>720</v>
      </c>
    </row>
    <row r="14" spans="1:6">
      <c r="A14" t="s">
        <v>721</v>
      </c>
    </row>
    <row r="15" spans="1:6">
      <c r="A15" t="s">
        <v>722</v>
      </c>
    </row>
    <row r="16" spans="1:6">
      <c r="A16" t="s">
        <v>723</v>
      </c>
    </row>
    <row r="17" spans="1:1">
      <c r="A17" t="s">
        <v>724</v>
      </c>
    </row>
    <row r="18" spans="1:1">
      <c r="A18" t="s">
        <v>725</v>
      </c>
    </row>
    <row r="19" spans="1:1">
      <c r="A19" t="s">
        <v>726</v>
      </c>
    </row>
    <row r="20" spans="1:1">
      <c r="A20" t="s">
        <v>727</v>
      </c>
    </row>
    <row r="21" spans="1:1">
      <c r="A21" t="s">
        <v>728</v>
      </c>
    </row>
    <row r="22" spans="1:1">
      <c r="A22" t="s">
        <v>729</v>
      </c>
    </row>
    <row r="23" spans="1:1">
      <c r="A23" t="s">
        <v>730</v>
      </c>
    </row>
    <row r="24" spans="1:1">
      <c r="A24" t="s">
        <v>731</v>
      </c>
    </row>
    <row r="25" spans="1:1">
      <c r="A25" t="s">
        <v>732</v>
      </c>
    </row>
    <row r="26" spans="1:1">
      <c r="A26" t="s">
        <v>733</v>
      </c>
    </row>
    <row r="27" spans="1:1">
      <c r="A27" t="s">
        <v>734</v>
      </c>
    </row>
    <row r="28" spans="1:1">
      <c r="A28" t="s">
        <v>735</v>
      </c>
    </row>
    <row r="29" spans="1:1">
      <c r="A29" t="s">
        <v>736</v>
      </c>
    </row>
    <row r="30" spans="1:1">
      <c r="A30" t="s">
        <v>737</v>
      </c>
    </row>
    <row r="31" spans="1:1">
      <c r="A31" t="s">
        <v>738</v>
      </c>
    </row>
    <row r="32" spans="1:1">
      <c r="A32" t="s">
        <v>739</v>
      </c>
    </row>
    <row r="33" spans="1:1">
      <c r="A33" t="s">
        <v>740</v>
      </c>
    </row>
    <row r="34" spans="1:1">
      <c r="A34" t="s">
        <v>741</v>
      </c>
    </row>
  </sheetData>
  <sortState xmlns:xlrd2="http://schemas.microsoft.com/office/spreadsheetml/2017/richdata2" ref="C2:C8">
    <sortCondition ref="C2:C8"/>
  </sortState>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B681-FE2C-4BE3-84BB-F5B10E852613}">
  <sheetPr codeName="Sheet2"/>
  <dimension ref="A1:M229"/>
  <sheetViews>
    <sheetView workbookViewId="0">
      <selection activeCell="E13" sqref="E13"/>
    </sheetView>
  </sheetViews>
  <sheetFormatPr defaultColWidth="8.7109375" defaultRowHeight="15"/>
  <cols>
    <col min="1" max="1" width="13.7109375" customWidth="1"/>
    <col min="2" max="3" width="14.28515625" style="3" customWidth="1"/>
    <col min="4" max="5" width="13.28515625" style="3" customWidth="1"/>
    <col min="6" max="6" width="16.7109375" style="3" bestFit="1" customWidth="1"/>
    <col min="7" max="8" width="13.28515625" style="3" customWidth="1"/>
    <col min="9" max="9" width="17.28515625" style="3" bestFit="1" customWidth="1"/>
    <col min="10" max="11" width="13.28515625" style="3" customWidth="1"/>
    <col min="12" max="12" width="19.28515625" style="3" bestFit="1" customWidth="1"/>
    <col min="13" max="13" width="24.7109375" bestFit="1" customWidth="1"/>
  </cols>
  <sheetData>
    <row r="1" spans="1:13" ht="15.95" thickBot="1">
      <c r="A1" s="39" t="s">
        <v>473</v>
      </c>
      <c r="B1" s="40" t="s">
        <v>742</v>
      </c>
      <c r="C1" s="40" t="s">
        <v>743</v>
      </c>
      <c r="D1" s="40" t="s">
        <v>744</v>
      </c>
      <c r="E1" s="40" t="s">
        <v>745</v>
      </c>
      <c r="F1" s="40" t="s">
        <v>746</v>
      </c>
      <c r="G1" s="40" t="s">
        <v>747</v>
      </c>
      <c r="H1" s="40" t="s">
        <v>748</v>
      </c>
      <c r="I1" s="40" t="s">
        <v>749</v>
      </c>
      <c r="J1" s="40" t="s">
        <v>750</v>
      </c>
      <c r="K1" s="40" t="s">
        <v>751</v>
      </c>
      <c r="L1" s="40" t="s">
        <v>752</v>
      </c>
      <c r="M1" s="42" t="s">
        <v>753</v>
      </c>
    </row>
    <row r="2" spans="1:13">
      <c r="A2" s="35">
        <v>45474</v>
      </c>
      <c r="B2" s="6">
        <v>13</v>
      </c>
      <c r="C2" s="6">
        <v>24</v>
      </c>
      <c r="D2" s="43" t="e">
        <f>SUM('TTB Reporting'!#REF!,'TTB Reporting'!#REF!,'TTB Reporting'!N22,'TTB Reporting'!N23,'TTB Reporting'!N24)</f>
        <v>#REF!</v>
      </c>
      <c r="E2" s="36" t="e">
        <f>SUM('TTB Reporting'!#REF!,'TTB Reporting'!#REF!,'TTB Reporting'!N22,'TTB Reporting'!N23,'TTB Reporting'!N24)</f>
        <v>#REF!</v>
      </c>
      <c r="F2" s="36" t="e">
        <f>(E2/C2)</f>
        <v>#REF!</v>
      </c>
      <c r="G2" s="36" t="e">
        <f>SUM('TTB Reporting'!#REF!,'TTB Reporting'!#REF!,'TTB Reporting'!M22,'TTB Reporting'!M23,'TTB Reporting'!M24)</f>
        <v>#REF!</v>
      </c>
      <c r="H2" s="36" t="e">
        <f>SUM('TTB Reporting'!#REF!,'TTB Reporting'!#REF!,'TTB Reporting'!M22,'TTB Reporting'!M23,'TTB Reporting'!M24)</f>
        <v>#REF!</v>
      </c>
      <c r="I2" s="37" t="e">
        <f>(H2/C2)</f>
        <v>#REF!</v>
      </c>
      <c r="J2" s="41" t="e">
        <f>SUM('TTB Reporting'!R2,'TTB Reporting'!#REF!,'TTB Reporting'!R22,'TTB Reporting'!R23,'TTB Reporting'!R24)</f>
        <v>#REF!</v>
      </c>
      <c r="K2" s="41" t="e">
        <f>SUM('TTB Reporting'!R2,'TTB Reporting'!#REF!,'TTB Reporting'!R22,'TTB Reporting'!R23,'TTB Reporting'!R24)</f>
        <v>#REF!</v>
      </c>
      <c r="L2" s="4" t="e">
        <f>(K2/C2)</f>
        <v>#REF!</v>
      </c>
    </row>
    <row r="3" spans="1:13">
      <c r="A3" s="35">
        <v>45505</v>
      </c>
      <c r="B3" s="6">
        <v>22</v>
      </c>
      <c r="C3" s="6">
        <v>30</v>
      </c>
      <c r="D3" s="36" t="e">
        <f>SUM('TTB Reporting'!N25:N36,'TTB Reporting'!N37:N53,'TTB Reporting'!N54:N61,'TTB Reporting'!N62:N64,'TTB Reporting'!N65:N68,'TTB Reporting'!N69:N73,'TTB Reporting'!N74:N76,'TTB Reporting'!N77:N78,'TTB Reporting'!N80:N82)+D2</f>
        <v>#REF!</v>
      </c>
      <c r="E3" s="36">
        <f>SUM('TTB Reporting'!N25:N36,'TTB Reporting'!N37:N53,'TTB Reporting'!N54:N61,'TTB Reporting'!N62:N64,'TTB Reporting'!N65:N68,'TTB Reporting'!N69:N73,'TTB Reporting'!N74:N76,'TTB Reporting'!N77:N78,'TTB Reporting'!N80:N82)</f>
        <v>640819.6023258866</v>
      </c>
      <c r="F3" s="36">
        <f>(E3/C3)</f>
        <v>21360.653410862888</v>
      </c>
      <c r="G3" s="36" t="e">
        <f>SUM('TTB Reporting'!M25:M36,'TTB Reporting'!#REF!,'TTB Reporting'!#REF!,'TTB Reporting'!#REF!,'TTB Reporting'!#REF!,'TTB Reporting'!#REF!,'TTB Reporting'!#REF!,'TTB Reporting'!#REF!,'TTB Reporting'!#REF!)+G2</f>
        <v>#REF!</v>
      </c>
      <c r="H3" s="36" t="e">
        <f>SUM('TTB Reporting'!M25:M36,'TTB Reporting'!#REF!,'TTB Reporting'!#REF!,'TTB Reporting'!#REF!,'TTB Reporting'!#REF!,'TTB Reporting'!#REF!,'TTB Reporting'!#REF!,'TTB Reporting'!#REF!,'TTB Reporting'!#REF!)</f>
        <v>#REF!</v>
      </c>
      <c r="I3" s="37" t="e">
        <f>(H3/C3)</f>
        <v>#REF!</v>
      </c>
      <c r="J3" s="36" t="e">
        <f>SUM('TTB Reporting'!R25:R36,'TTB Reporting'!#REF!,'TTB Reporting'!#REF!,'TTB Reporting'!#REF!,'TTB Reporting'!#REF!,'TTB Reporting'!#REF!,'TTB Reporting'!#REF!,'TTB Reporting'!#REF!,'TTB Reporting'!#REF!)+J2</f>
        <v>#REF!</v>
      </c>
      <c r="K3" s="36" t="e">
        <f>SUM('TTB Reporting'!R25:R36,'TTB Reporting'!#REF!,'TTB Reporting'!#REF!,'TTB Reporting'!#REF!,'TTB Reporting'!#REF!,'TTB Reporting'!#REF!,'TTB Reporting'!#REF!,'TTB Reporting'!#REF!,'TTB Reporting'!#REF!)</f>
        <v>#REF!</v>
      </c>
      <c r="L3" s="4" t="e">
        <f>(K3/C3)</f>
        <v>#REF!</v>
      </c>
      <c r="M3" s="45" t="e">
        <f>(E3/E2)</f>
        <v>#REF!</v>
      </c>
    </row>
    <row r="4" spans="1:13">
      <c r="A4" s="35">
        <v>45559</v>
      </c>
      <c r="B4" s="38"/>
      <c r="C4" s="38"/>
      <c r="J4" s="37" t="e">
        <f>(J3+552)</f>
        <v>#REF!</v>
      </c>
    </row>
    <row r="5" spans="1:13">
      <c r="A5" s="35"/>
      <c r="B5" s="38"/>
      <c r="C5" s="38"/>
      <c r="E5" s="37"/>
    </row>
    <row r="6" spans="1:13">
      <c r="A6" s="35"/>
      <c r="B6" s="38"/>
      <c r="C6" s="38"/>
    </row>
    <row r="7" spans="1:13">
      <c r="A7" s="35"/>
      <c r="B7" s="38"/>
      <c r="C7" s="38"/>
    </row>
    <row r="8" spans="1:13">
      <c r="A8" s="35"/>
      <c r="B8" s="38"/>
      <c r="C8" s="38"/>
    </row>
    <row r="9" spans="1:13">
      <c r="A9" s="35"/>
      <c r="B9" s="38"/>
      <c r="C9" s="38"/>
    </row>
    <row r="10" spans="1:13">
      <c r="A10" s="35"/>
      <c r="B10" s="38"/>
      <c r="C10" s="38"/>
    </row>
    <row r="11" spans="1:13">
      <c r="A11" s="35"/>
      <c r="B11" s="38"/>
      <c r="C11" s="38"/>
    </row>
    <row r="12" spans="1:13">
      <c r="A12" s="46" t="s">
        <v>754</v>
      </c>
      <c r="B12" s="47">
        <f>SUM(B2:B11)</f>
        <v>35</v>
      </c>
      <c r="C12" s="47">
        <f>SUM(C2:C11)</f>
        <v>54</v>
      </c>
      <c r="D12" s="48"/>
      <c r="E12" s="49" t="e">
        <f>SUM(E2:E11)</f>
        <v>#REF!</v>
      </c>
      <c r="F12" s="49" t="e">
        <f>AVERAGE(F2:F11)</f>
        <v>#REF!</v>
      </c>
      <c r="G12" s="48"/>
      <c r="H12" s="49" t="e">
        <f>SUM(H2:H11)</f>
        <v>#REF!</v>
      </c>
      <c r="I12" s="49" t="e">
        <f>AVERAGE(I2:I11)</f>
        <v>#REF!</v>
      </c>
      <c r="J12" s="48"/>
      <c r="K12" s="50" t="e">
        <f>SUM(K2:K11)</f>
        <v>#REF!</v>
      </c>
      <c r="L12" s="51" t="e">
        <f>AVERAGE(L2:L11)</f>
        <v>#REF!</v>
      </c>
      <c r="M12" s="52" t="e">
        <f>AVERAGE(M2:M11)</f>
        <v>#REF!</v>
      </c>
    </row>
    <row r="13" spans="1:13">
      <c r="A13" s="44">
        <f>COUNTA(B2:B11)</f>
        <v>2</v>
      </c>
      <c r="B13" s="38"/>
      <c r="C13" s="38"/>
    </row>
    <row r="14" spans="1:13">
      <c r="A14" s="35"/>
      <c r="B14" s="38"/>
      <c r="C14" s="38"/>
    </row>
    <row r="15" spans="1:13">
      <c r="A15" s="35"/>
      <c r="B15" s="38"/>
      <c r="C15" s="38"/>
    </row>
    <row r="16" spans="1:13">
      <c r="A16" s="35"/>
      <c r="B16" s="38"/>
      <c r="C16" s="38"/>
    </row>
    <row r="17" spans="1:3">
      <c r="A17" s="35"/>
      <c r="B17" s="38"/>
      <c r="C17" s="38"/>
    </row>
    <row r="18" spans="1:3">
      <c r="A18" s="35"/>
      <c r="B18" s="38"/>
      <c r="C18" s="38"/>
    </row>
    <row r="19" spans="1:3">
      <c r="A19" s="35"/>
      <c r="B19" s="38"/>
      <c r="C19" s="38"/>
    </row>
    <row r="20" spans="1:3">
      <c r="A20" s="35"/>
      <c r="B20" s="38"/>
      <c r="C20" s="38"/>
    </row>
    <row r="21" spans="1:3">
      <c r="A21" s="35"/>
      <c r="B21" s="38"/>
      <c r="C21" s="38"/>
    </row>
    <row r="22" spans="1:3">
      <c r="A22" s="35"/>
      <c r="B22" s="38"/>
      <c r="C22" s="38"/>
    </row>
    <row r="23" spans="1:3">
      <c r="A23" s="35"/>
      <c r="B23" s="38"/>
      <c r="C23" s="38"/>
    </row>
    <row r="24" spans="1:3">
      <c r="A24" s="35"/>
      <c r="B24" s="38"/>
      <c r="C24" s="38"/>
    </row>
    <row r="25" spans="1:3">
      <c r="A25" s="35"/>
      <c r="B25" s="38"/>
      <c r="C25" s="38"/>
    </row>
    <row r="26" spans="1:3">
      <c r="A26" s="35"/>
      <c r="B26" s="38"/>
      <c r="C26" s="38"/>
    </row>
    <row r="27" spans="1:3">
      <c r="A27" s="35"/>
      <c r="B27" s="38"/>
      <c r="C27" s="38"/>
    </row>
    <row r="28" spans="1:3">
      <c r="A28" s="35"/>
      <c r="B28" s="38"/>
      <c r="C28" s="38"/>
    </row>
    <row r="29" spans="1:3">
      <c r="A29" s="35"/>
      <c r="B29" s="38"/>
      <c r="C29" s="38"/>
    </row>
    <row r="30" spans="1:3">
      <c r="A30" s="35"/>
      <c r="B30" s="38"/>
      <c r="C30" s="38"/>
    </row>
    <row r="31" spans="1:3">
      <c r="A31" s="35"/>
      <c r="B31" s="38"/>
      <c r="C31" s="38"/>
    </row>
    <row r="32" spans="1:3">
      <c r="A32" s="35"/>
      <c r="B32" s="38"/>
      <c r="C32" s="38"/>
    </row>
    <row r="33" spans="1:3">
      <c r="A33" s="35"/>
      <c r="B33" s="38"/>
      <c r="C33" s="38"/>
    </row>
    <row r="34" spans="1:3">
      <c r="A34" s="35"/>
      <c r="B34" s="38"/>
      <c r="C34" s="38"/>
    </row>
    <row r="35" spans="1:3">
      <c r="A35" s="35"/>
      <c r="B35" s="38"/>
      <c r="C35" s="38"/>
    </row>
    <row r="36" spans="1:3">
      <c r="A36" s="35"/>
      <c r="B36" s="38"/>
      <c r="C36" s="38"/>
    </row>
    <row r="37" spans="1:3">
      <c r="A37" s="35"/>
      <c r="B37" s="38"/>
      <c r="C37" s="38"/>
    </row>
    <row r="38" spans="1:3">
      <c r="A38" s="35"/>
      <c r="B38" s="38"/>
      <c r="C38" s="38"/>
    </row>
    <row r="39" spans="1:3">
      <c r="A39" s="35"/>
      <c r="B39" s="38"/>
      <c r="C39" s="38"/>
    </row>
    <row r="40" spans="1:3">
      <c r="A40" s="35"/>
      <c r="B40" s="38"/>
      <c r="C40" s="38"/>
    </row>
    <row r="41" spans="1:3">
      <c r="A41" s="35"/>
      <c r="B41" s="38"/>
      <c r="C41" s="38"/>
    </row>
    <row r="42" spans="1:3">
      <c r="A42" s="35"/>
      <c r="B42" s="38"/>
      <c r="C42" s="38"/>
    </row>
    <row r="43" spans="1:3">
      <c r="A43" s="35"/>
      <c r="B43" s="38"/>
      <c r="C43" s="38"/>
    </row>
    <row r="44" spans="1:3">
      <c r="A44" s="35"/>
      <c r="B44" s="38"/>
      <c r="C44" s="38"/>
    </row>
    <row r="45" spans="1:3">
      <c r="A45" s="35"/>
      <c r="B45" s="38"/>
      <c r="C45" s="38"/>
    </row>
    <row r="46" spans="1:3">
      <c r="A46" s="35"/>
      <c r="B46" s="38"/>
      <c r="C46" s="38"/>
    </row>
    <row r="47" spans="1:3">
      <c r="A47" s="35"/>
      <c r="B47" s="38"/>
      <c r="C47" s="38"/>
    </row>
    <row r="48" spans="1:3">
      <c r="A48" s="35"/>
      <c r="B48" s="38"/>
      <c r="C48" s="38"/>
    </row>
    <row r="49" spans="1:3">
      <c r="A49" s="35"/>
      <c r="B49" s="38"/>
      <c r="C49" s="38"/>
    </row>
    <row r="50" spans="1:3">
      <c r="A50" s="35"/>
      <c r="B50" s="38"/>
      <c r="C50" s="38"/>
    </row>
    <row r="51" spans="1:3">
      <c r="A51" s="35"/>
      <c r="B51" s="38"/>
      <c r="C51" s="38"/>
    </row>
    <row r="52" spans="1:3">
      <c r="A52" s="35"/>
      <c r="B52" s="38"/>
      <c r="C52" s="38"/>
    </row>
    <row r="53" spans="1:3">
      <c r="A53" s="35"/>
      <c r="B53" s="38"/>
      <c r="C53" s="38"/>
    </row>
    <row r="54" spans="1:3">
      <c r="A54" s="35"/>
      <c r="B54" s="38"/>
      <c r="C54" s="38"/>
    </row>
    <row r="55" spans="1:3">
      <c r="A55" s="35"/>
      <c r="B55" s="38"/>
      <c r="C55" s="38"/>
    </row>
    <row r="56" spans="1:3">
      <c r="A56" s="35"/>
      <c r="B56" s="38"/>
      <c r="C56" s="38"/>
    </row>
    <row r="57" spans="1:3">
      <c r="A57" s="35"/>
      <c r="B57" s="38"/>
      <c r="C57" s="38"/>
    </row>
    <row r="58" spans="1:3">
      <c r="A58" s="35"/>
      <c r="B58" s="38"/>
      <c r="C58" s="38"/>
    </row>
    <row r="59" spans="1:3">
      <c r="A59" s="35"/>
      <c r="B59" s="38"/>
      <c r="C59" s="38"/>
    </row>
    <row r="60" spans="1:3">
      <c r="A60" s="35"/>
      <c r="B60" s="38"/>
      <c r="C60" s="38"/>
    </row>
    <row r="61" spans="1:3">
      <c r="A61" s="35"/>
      <c r="B61" s="38"/>
      <c r="C61" s="38"/>
    </row>
    <row r="62" spans="1:3">
      <c r="A62" s="35"/>
      <c r="B62" s="38"/>
      <c r="C62" s="38"/>
    </row>
    <row r="63" spans="1:3">
      <c r="A63" s="35"/>
      <c r="B63" s="38"/>
      <c r="C63" s="38"/>
    </row>
    <row r="64" spans="1:3">
      <c r="A64" s="35"/>
      <c r="B64" s="38"/>
      <c r="C64" s="38"/>
    </row>
    <row r="65" spans="1:3">
      <c r="A65" s="35"/>
      <c r="B65" s="38"/>
      <c r="C65" s="38"/>
    </row>
    <row r="66" spans="1:3">
      <c r="A66" s="35"/>
      <c r="B66" s="38"/>
      <c r="C66" s="38"/>
    </row>
    <row r="67" spans="1:3">
      <c r="A67" s="35"/>
      <c r="B67" s="38"/>
      <c r="C67" s="38"/>
    </row>
    <row r="68" spans="1:3">
      <c r="A68" s="35"/>
      <c r="B68" s="38"/>
      <c r="C68" s="38"/>
    </row>
    <row r="69" spans="1:3">
      <c r="A69" s="35"/>
      <c r="B69" s="38"/>
      <c r="C69" s="38"/>
    </row>
    <row r="70" spans="1:3">
      <c r="A70" s="35"/>
      <c r="B70" s="38"/>
      <c r="C70" s="38"/>
    </row>
    <row r="71" spans="1:3">
      <c r="A71" s="35"/>
      <c r="B71" s="38"/>
      <c r="C71" s="38"/>
    </row>
    <row r="72" spans="1:3">
      <c r="A72" s="35"/>
      <c r="B72" s="38"/>
      <c r="C72" s="38"/>
    </row>
    <row r="73" spans="1:3">
      <c r="A73" s="35"/>
      <c r="B73" s="38"/>
      <c r="C73" s="38"/>
    </row>
    <row r="74" spans="1:3">
      <c r="A74" s="35"/>
      <c r="B74" s="38"/>
      <c r="C74" s="38"/>
    </row>
    <row r="75" spans="1:3">
      <c r="A75" s="35"/>
      <c r="B75" s="38"/>
      <c r="C75" s="38"/>
    </row>
    <row r="76" spans="1:3">
      <c r="A76" s="35"/>
      <c r="B76" s="38"/>
      <c r="C76" s="38"/>
    </row>
    <row r="77" spans="1:3">
      <c r="A77" s="35"/>
      <c r="B77" s="38"/>
      <c r="C77" s="38"/>
    </row>
    <row r="78" spans="1:3">
      <c r="A78" s="35"/>
      <c r="B78" s="38"/>
      <c r="C78" s="38"/>
    </row>
    <row r="79" spans="1:3">
      <c r="A79" s="35"/>
      <c r="B79" s="38"/>
      <c r="C79" s="38"/>
    </row>
    <row r="80" spans="1:3">
      <c r="A80" s="35"/>
      <c r="B80" s="38"/>
      <c r="C80" s="38"/>
    </row>
    <row r="81" spans="1:3">
      <c r="A81" s="35"/>
      <c r="B81" s="38"/>
      <c r="C81" s="38"/>
    </row>
    <row r="82" spans="1:3">
      <c r="A82" s="35"/>
      <c r="B82" s="38"/>
      <c r="C82" s="38"/>
    </row>
    <row r="83" spans="1:3">
      <c r="A83" s="35"/>
      <c r="B83" s="38"/>
      <c r="C83" s="38"/>
    </row>
    <row r="84" spans="1:3">
      <c r="A84" s="35"/>
      <c r="B84" s="38"/>
      <c r="C84" s="38"/>
    </row>
    <row r="85" spans="1:3">
      <c r="A85" s="35"/>
      <c r="B85" s="38"/>
      <c r="C85" s="38"/>
    </row>
    <row r="86" spans="1:3">
      <c r="A86" s="35"/>
      <c r="B86" s="38"/>
      <c r="C86" s="38"/>
    </row>
    <row r="87" spans="1:3">
      <c r="A87" s="35"/>
      <c r="B87" s="38"/>
      <c r="C87" s="38"/>
    </row>
    <row r="88" spans="1:3">
      <c r="A88" s="35"/>
      <c r="B88" s="38"/>
      <c r="C88" s="38"/>
    </row>
    <row r="89" spans="1:3">
      <c r="A89" s="35"/>
      <c r="B89" s="38"/>
      <c r="C89" s="38"/>
    </row>
    <row r="90" spans="1:3">
      <c r="A90" s="35"/>
      <c r="B90" s="38"/>
      <c r="C90" s="38"/>
    </row>
    <row r="91" spans="1:3">
      <c r="A91" s="35"/>
      <c r="B91" s="38"/>
      <c r="C91" s="38"/>
    </row>
    <row r="92" spans="1:3">
      <c r="A92" s="35"/>
      <c r="B92" s="38"/>
      <c r="C92" s="38"/>
    </row>
    <row r="93" spans="1:3">
      <c r="A93" s="35"/>
      <c r="B93" s="38"/>
      <c r="C93" s="38"/>
    </row>
    <row r="94" spans="1:3">
      <c r="A94" s="35"/>
      <c r="B94" s="38"/>
      <c r="C94" s="38"/>
    </row>
    <row r="95" spans="1:3">
      <c r="A95" s="35"/>
      <c r="B95" s="38"/>
      <c r="C95" s="38"/>
    </row>
    <row r="96" spans="1:3">
      <c r="A96" s="35"/>
      <c r="B96" s="38"/>
      <c r="C96" s="38"/>
    </row>
    <row r="97" spans="1:3">
      <c r="A97" s="35"/>
      <c r="B97" s="38"/>
      <c r="C97" s="38"/>
    </row>
    <row r="98" spans="1:3">
      <c r="A98" s="35"/>
      <c r="B98" s="38"/>
      <c r="C98" s="38"/>
    </row>
    <row r="99" spans="1:3">
      <c r="A99" s="35"/>
      <c r="B99" s="38"/>
      <c r="C99" s="38"/>
    </row>
    <row r="100" spans="1:3">
      <c r="A100" s="35"/>
      <c r="B100" s="38"/>
      <c r="C100" s="38"/>
    </row>
    <row r="101" spans="1:3">
      <c r="A101" s="35"/>
      <c r="B101" s="38"/>
      <c r="C101" s="38"/>
    </row>
    <row r="102" spans="1:3">
      <c r="A102" s="35"/>
      <c r="B102" s="38"/>
      <c r="C102" s="38"/>
    </row>
    <row r="103" spans="1:3">
      <c r="A103" s="35"/>
      <c r="B103" s="38"/>
      <c r="C103" s="38"/>
    </row>
    <row r="104" spans="1:3">
      <c r="A104" s="35"/>
      <c r="B104" s="38"/>
      <c r="C104" s="38"/>
    </row>
    <row r="105" spans="1:3">
      <c r="A105" s="35"/>
      <c r="B105" s="38"/>
      <c r="C105" s="38"/>
    </row>
    <row r="106" spans="1:3">
      <c r="A106" s="35"/>
      <c r="B106" s="38"/>
      <c r="C106" s="38"/>
    </row>
    <row r="107" spans="1:3">
      <c r="A107" s="35"/>
      <c r="B107" s="38"/>
      <c r="C107" s="38"/>
    </row>
    <row r="108" spans="1:3">
      <c r="A108" s="35"/>
      <c r="B108" s="38"/>
      <c r="C108" s="38"/>
    </row>
    <row r="109" spans="1:3">
      <c r="A109" s="35"/>
      <c r="B109" s="38"/>
      <c r="C109" s="38"/>
    </row>
    <row r="110" spans="1:3">
      <c r="A110" s="35"/>
      <c r="B110" s="38"/>
      <c r="C110" s="38"/>
    </row>
    <row r="111" spans="1:3">
      <c r="A111" s="35"/>
      <c r="B111" s="38"/>
      <c r="C111" s="38"/>
    </row>
    <row r="112" spans="1:3">
      <c r="A112" s="35"/>
      <c r="B112" s="38"/>
      <c r="C112" s="38"/>
    </row>
    <row r="113" spans="1:3">
      <c r="A113" s="35"/>
      <c r="B113" s="38"/>
      <c r="C113" s="38"/>
    </row>
    <row r="114" spans="1:3">
      <c r="A114" s="35"/>
      <c r="B114" s="38"/>
      <c r="C114" s="38"/>
    </row>
    <row r="115" spans="1:3">
      <c r="A115" s="35"/>
      <c r="B115" s="38"/>
      <c r="C115" s="38"/>
    </row>
    <row r="116" spans="1:3">
      <c r="A116" s="35"/>
      <c r="B116" s="38"/>
      <c r="C116" s="38"/>
    </row>
    <row r="117" spans="1:3">
      <c r="A117" s="35"/>
      <c r="B117" s="38"/>
      <c r="C117" s="38"/>
    </row>
    <row r="118" spans="1:3">
      <c r="A118" s="35"/>
      <c r="B118" s="38"/>
      <c r="C118" s="38"/>
    </row>
    <row r="119" spans="1:3">
      <c r="A119" s="35"/>
      <c r="B119" s="38"/>
      <c r="C119" s="38"/>
    </row>
    <row r="120" spans="1:3">
      <c r="A120" s="35"/>
      <c r="B120" s="38"/>
      <c r="C120" s="38"/>
    </row>
    <row r="121" spans="1:3">
      <c r="A121" s="35"/>
      <c r="B121" s="38"/>
      <c r="C121" s="38"/>
    </row>
    <row r="122" spans="1:3">
      <c r="A122" s="35"/>
      <c r="B122" s="38"/>
      <c r="C122" s="38"/>
    </row>
    <row r="123" spans="1:3">
      <c r="A123" s="35"/>
      <c r="B123" s="38"/>
      <c r="C123" s="38"/>
    </row>
    <row r="124" spans="1:3">
      <c r="A124" s="35"/>
      <c r="B124" s="38"/>
      <c r="C124" s="38"/>
    </row>
    <row r="125" spans="1:3">
      <c r="A125" s="35"/>
      <c r="B125" s="38"/>
      <c r="C125" s="38"/>
    </row>
    <row r="126" spans="1:3">
      <c r="A126" s="35"/>
      <c r="B126" s="38"/>
      <c r="C126" s="38"/>
    </row>
    <row r="127" spans="1:3">
      <c r="A127" s="35"/>
      <c r="B127" s="38"/>
      <c r="C127" s="38"/>
    </row>
    <row r="128" spans="1:3">
      <c r="A128" s="35"/>
      <c r="B128" s="38"/>
      <c r="C128" s="38"/>
    </row>
    <row r="129" spans="1:3">
      <c r="A129" s="35"/>
      <c r="B129" s="38"/>
      <c r="C129" s="38"/>
    </row>
    <row r="130" spans="1:3">
      <c r="A130" s="35"/>
      <c r="B130" s="38"/>
      <c r="C130" s="38"/>
    </row>
    <row r="131" spans="1:3">
      <c r="A131" s="35"/>
      <c r="B131" s="38"/>
      <c r="C131" s="38"/>
    </row>
    <row r="132" spans="1:3">
      <c r="A132" s="35"/>
      <c r="B132" s="38"/>
      <c r="C132" s="38"/>
    </row>
    <row r="133" spans="1:3">
      <c r="A133" s="35"/>
      <c r="B133" s="38"/>
      <c r="C133" s="38"/>
    </row>
    <row r="134" spans="1:3">
      <c r="A134" s="35"/>
      <c r="B134" s="38"/>
      <c r="C134" s="38"/>
    </row>
    <row r="135" spans="1:3">
      <c r="A135" s="35"/>
      <c r="B135" s="38"/>
      <c r="C135" s="38"/>
    </row>
    <row r="136" spans="1:3">
      <c r="A136" s="35"/>
      <c r="B136" s="38"/>
      <c r="C136" s="38"/>
    </row>
    <row r="137" spans="1:3">
      <c r="A137" s="35"/>
      <c r="B137" s="38"/>
      <c r="C137" s="38"/>
    </row>
    <row r="138" spans="1:3">
      <c r="A138" s="35"/>
      <c r="B138" s="38"/>
      <c r="C138" s="38"/>
    </row>
    <row r="139" spans="1:3">
      <c r="A139" s="35"/>
      <c r="B139" s="38"/>
      <c r="C139" s="38"/>
    </row>
    <row r="140" spans="1:3">
      <c r="A140" s="35"/>
      <c r="B140" s="38"/>
      <c r="C140" s="38"/>
    </row>
    <row r="141" spans="1:3">
      <c r="A141" s="35"/>
      <c r="B141" s="38"/>
      <c r="C141" s="38"/>
    </row>
    <row r="142" spans="1:3">
      <c r="A142" s="35"/>
      <c r="B142" s="38"/>
      <c r="C142" s="38"/>
    </row>
    <row r="143" spans="1:3">
      <c r="A143" s="35"/>
      <c r="B143" s="38"/>
      <c r="C143" s="38"/>
    </row>
    <row r="144" spans="1:3">
      <c r="A144" s="35"/>
      <c r="B144" s="38"/>
      <c r="C144" s="38"/>
    </row>
    <row r="145" spans="1:3">
      <c r="A145" s="35"/>
      <c r="B145" s="38"/>
      <c r="C145" s="38"/>
    </row>
    <row r="146" spans="1:3">
      <c r="A146" s="35"/>
      <c r="B146" s="38"/>
      <c r="C146" s="38"/>
    </row>
    <row r="147" spans="1:3">
      <c r="A147" s="35"/>
      <c r="B147" s="38"/>
      <c r="C147" s="38"/>
    </row>
    <row r="148" spans="1:3">
      <c r="A148" s="35"/>
      <c r="B148" s="38"/>
      <c r="C148" s="38"/>
    </row>
    <row r="149" spans="1:3">
      <c r="A149" s="35"/>
      <c r="B149" s="38"/>
      <c r="C149" s="38"/>
    </row>
    <row r="150" spans="1:3">
      <c r="A150" s="35"/>
      <c r="B150" s="38"/>
      <c r="C150" s="38"/>
    </row>
    <row r="151" spans="1:3">
      <c r="A151" s="35"/>
      <c r="B151" s="38"/>
      <c r="C151" s="38"/>
    </row>
    <row r="152" spans="1:3">
      <c r="A152" s="35"/>
      <c r="B152" s="38"/>
      <c r="C152" s="38"/>
    </row>
    <row r="153" spans="1:3">
      <c r="A153" s="35"/>
      <c r="B153" s="38"/>
      <c r="C153" s="38"/>
    </row>
    <row r="154" spans="1:3">
      <c r="A154" s="35"/>
      <c r="B154" s="38"/>
      <c r="C154" s="38"/>
    </row>
    <row r="155" spans="1:3">
      <c r="A155" s="35"/>
      <c r="B155" s="38"/>
      <c r="C155" s="38"/>
    </row>
    <row r="156" spans="1:3">
      <c r="A156" s="35"/>
      <c r="B156" s="38"/>
      <c r="C156" s="38"/>
    </row>
    <row r="157" spans="1:3">
      <c r="A157" s="35"/>
      <c r="B157" s="38"/>
      <c r="C157" s="38"/>
    </row>
    <row r="158" spans="1:3">
      <c r="A158" s="35"/>
      <c r="B158" s="38"/>
      <c r="C158" s="38"/>
    </row>
    <row r="159" spans="1:3">
      <c r="A159" s="35"/>
      <c r="B159" s="38"/>
      <c r="C159" s="38"/>
    </row>
    <row r="160" spans="1:3">
      <c r="A160" s="35"/>
      <c r="B160" s="38"/>
      <c r="C160" s="38"/>
    </row>
    <row r="161" spans="1:3">
      <c r="A161" s="35"/>
      <c r="B161" s="38"/>
      <c r="C161" s="38"/>
    </row>
    <row r="162" spans="1:3">
      <c r="A162" s="35"/>
      <c r="B162" s="38"/>
      <c r="C162" s="38"/>
    </row>
    <row r="163" spans="1:3">
      <c r="A163" s="35"/>
      <c r="B163" s="38"/>
      <c r="C163" s="38"/>
    </row>
    <row r="164" spans="1:3">
      <c r="A164" s="35"/>
      <c r="B164" s="38"/>
      <c r="C164" s="38"/>
    </row>
    <row r="165" spans="1:3">
      <c r="A165" s="35"/>
      <c r="B165" s="38"/>
      <c r="C165" s="38"/>
    </row>
    <row r="166" spans="1:3">
      <c r="A166" s="35"/>
      <c r="B166" s="38"/>
      <c r="C166" s="38"/>
    </row>
    <row r="167" spans="1:3">
      <c r="A167" s="35"/>
      <c r="B167" s="38"/>
      <c r="C167" s="38"/>
    </row>
    <row r="168" spans="1:3">
      <c r="A168" s="35"/>
      <c r="B168" s="38"/>
      <c r="C168" s="38"/>
    </row>
    <row r="169" spans="1:3">
      <c r="A169" s="35"/>
      <c r="B169" s="38"/>
      <c r="C169" s="38"/>
    </row>
    <row r="170" spans="1:3">
      <c r="A170" s="35"/>
      <c r="B170" s="38"/>
      <c r="C170" s="38"/>
    </row>
    <row r="171" spans="1:3">
      <c r="A171" s="35"/>
      <c r="B171" s="38"/>
      <c r="C171" s="38"/>
    </row>
    <row r="172" spans="1:3">
      <c r="A172" s="35"/>
      <c r="B172" s="38"/>
      <c r="C172" s="38"/>
    </row>
    <row r="173" spans="1:3">
      <c r="A173" s="35"/>
      <c r="B173" s="38"/>
      <c r="C173" s="38"/>
    </row>
    <row r="174" spans="1:3">
      <c r="A174" s="35"/>
      <c r="B174" s="38"/>
      <c r="C174" s="38"/>
    </row>
    <row r="175" spans="1:3">
      <c r="A175" s="35"/>
      <c r="B175" s="38"/>
      <c r="C175" s="38"/>
    </row>
    <row r="176" spans="1:3">
      <c r="A176" s="35"/>
      <c r="B176" s="38"/>
      <c r="C176" s="38"/>
    </row>
    <row r="177" spans="1:3">
      <c r="A177" s="35"/>
      <c r="B177" s="38"/>
      <c r="C177" s="38"/>
    </row>
    <row r="178" spans="1:3">
      <c r="A178" s="35"/>
      <c r="B178" s="38"/>
      <c r="C178" s="38"/>
    </row>
    <row r="179" spans="1:3">
      <c r="A179" s="35"/>
      <c r="B179" s="38"/>
      <c r="C179" s="38"/>
    </row>
    <row r="180" spans="1:3">
      <c r="A180" s="35"/>
      <c r="B180" s="38"/>
      <c r="C180" s="38"/>
    </row>
    <row r="181" spans="1:3">
      <c r="A181" s="35"/>
      <c r="B181" s="38"/>
      <c r="C181" s="38"/>
    </row>
    <row r="182" spans="1:3">
      <c r="A182" s="35"/>
      <c r="B182" s="38"/>
      <c r="C182" s="38"/>
    </row>
    <row r="183" spans="1:3">
      <c r="A183" s="35"/>
      <c r="B183" s="38"/>
      <c r="C183" s="38"/>
    </row>
    <row r="184" spans="1:3">
      <c r="A184" s="35"/>
      <c r="B184" s="38"/>
      <c r="C184" s="38"/>
    </row>
    <row r="185" spans="1:3">
      <c r="A185" s="35"/>
      <c r="B185" s="38"/>
      <c r="C185" s="38"/>
    </row>
    <row r="186" spans="1:3">
      <c r="A186" s="35"/>
      <c r="B186" s="38"/>
      <c r="C186" s="38"/>
    </row>
    <row r="187" spans="1:3">
      <c r="A187" s="35"/>
      <c r="B187" s="38"/>
      <c r="C187" s="38"/>
    </row>
    <row r="188" spans="1:3">
      <c r="A188" s="35"/>
      <c r="B188" s="38"/>
      <c r="C188" s="38"/>
    </row>
    <row r="189" spans="1:3">
      <c r="A189" s="35"/>
      <c r="B189" s="38"/>
      <c r="C189" s="38"/>
    </row>
    <row r="190" spans="1:3">
      <c r="A190" s="35"/>
      <c r="B190" s="38"/>
      <c r="C190" s="38"/>
    </row>
    <row r="191" spans="1:3">
      <c r="A191" s="35"/>
      <c r="B191" s="38"/>
      <c r="C191" s="38"/>
    </row>
    <row r="192" spans="1:3">
      <c r="A192" s="35"/>
      <c r="B192" s="38"/>
      <c r="C192" s="38"/>
    </row>
    <row r="193" spans="1:3">
      <c r="A193" s="35"/>
      <c r="B193" s="38"/>
      <c r="C193" s="38"/>
    </row>
    <row r="194" spans="1:3">
      <c r="A194" s="35"/>
      <c r="B194" s="38"/>
      <c r="C194" s="38"/>
    </row>
    <row r="195" spans="1:3">
      <c r="A195" s="35"/>
      <c r="B195" s="38"/>
      <c r="C195" s="38"/>
    </row>
    <row r="196" spans="1:3">
      <c r="A196" s="35"/>
      <c r="B196" s="38"/>
      <c r="C196" s="38"/>
    </row>
    <row r="197" spans="1:3">
      <c r="A197" s="35"/>
      <c r="B197" s="38"/>
      <c r="C197" s="38"/>
    </row>
    <row r="198" spans="1:3">
      <c r="A198" s="35"/>
      <c r="B198" s="38"/>
      <c r="C198" s="38"/>
    </row>
    <row r="199" spans="1:3">
      <c r="A199" s="35"/>
      <c r="B199" s="38"/>
      <c r="C199" s="38"/>
    </row>
    <row r="200" spans="1:3">
      <c r="A200" s="35"/>
      <c r="B200" s="38"/>
      <c r="C200" s="38"/>
    </row>
    <row r="201" spans="1:3">
      <c r="A201" s="35"/>
      <c r="B201" s="38"/>
      <c r="C201" s="38"/>
    </row>
    <row r="202" spans="1:3">
      <c r="A202" s="35"/>
      <c r="B202" s="38"/>
      <c r="C202" s="38"/>
    </row>
    <row r="203" spans="1:3">
      <c r="A203" s="35"/>
      <c r="B203" s="38"/>
      <c r="C203" s="38"/>
    </row>
    <row r="204" spans="1:3">
      <c r="A204" s="35"/>
      <c r="B204" s="38"/>
      <c r="C204" s="38"/>
    </row>
    <row r="205" spans="1:3">
      <c r="A205" s="35"/>
      <c r="B205" s="38"/>
      <c r="C205" s="38"/>
    </row>
    <row r="206" spans="1:3">
      <c r="A206" s="35"/>
      <c r="B206" s="38"/>
      <c r="C206" s="38"/>
    </row>
    <row r="207" spans="1:3">
      <c r="A207" s="35"/>
      <c r="B207" s="38"/>
      <c r="C207" s="38"/>
    </row>
    <row r="208" spans="1:3">
      <c r="A208" s="35"/>
      <c r="B208" s="38"/>
      <c r="C208" s="38"/>
    </row>
    <row r="209" spans="1:3">
      <c r="A209" s="35"/>
      <c r="B209" s="38"/>
      <c r="C209" s="38"/>
    </row>
    <row r="210" spans="1:3">
      <c r="A210" s="35"/>
      <c r="B210" s="38"/>
      <c r="C210" s="38"/>
    </row>
    <row r="211" spans="1:3">
      <c r="A211" s="35"/>
      <c r="B211" s="38"/>
      <c r="C211" s="38"/>
    </row>
    <row r="212" spans="1:3">
      <c r="A212" s="35"/>
      <c r="B212" s="38"/>
      <c r="C212" s="38"/>
    </row>
    <row r="213" spans="1:3">
      <c r="A213" s="35"/>
      <c r="B213" s="38"/>
      <c r="C213" s="38"/>
    </row>
    <row r="214" spans="1:3">
      <c r="A214" s="35"/>
      <c r="B214" s="38"/>
      <c r="C214" s="38"/>
    </row>
    <row r="215" spans="1:3">
      <c r="A215" s="35"/>
      <c r="B215" s="38"/>
      <c r="C215" s="38"/>
    </row>
    <row r="216" spans="1:3">
      <c r="A216" s="35"/>
      <c r="B216" s="38"/>
      <c r="C216" s="38"/>
    </row>
    <row r="217" spans="1:3">
      <c r="A217" s="35"/>
      <c r="B217" s="38"/>
      <c r="C217" s="38"/>
    </row>
    <row r="218" spans="1:3">
      <c r="A218" s="35"/>
      <c r="B218" s="38"/>
      <c r="C218" s="38"/>
    </row>
    <row r="219" spans="1:3">
      <c r="A219" s="35"/>
      <c r="B219" s="38"/>
      <c r="C219" s="38"/>
    </row>
    <row r="220" spans="1:3">
      <c r="A220" s="35"/>
      <c r="B220" s="38"/>
      <c r="C220" s="38"/>
    </row>
    <row r="221" spans="1:3">
      <c r="A221" s="35"/>
      <c r="B221" s="38"/>
      <c r="C221" s="38"/>
    </row>
    <row r="222" spans="1:3">
      <c r="A222" s="35"/>
      <c r="B222" s="38"/>
      <c r="C222" s="38"/>
    </row>
    <row r="223" spans="1:3">
      <c r="A223" s="35"/>
      <c r="B223" s="38"/>
      <c r="C223" s="38"/>
    </row>
    <row r="224" spans="1:3">
      <c r="A224" s="35"/>
      <c r="B224" s="38"/>
      <c r="C224" s="38"/>
    </row>
    <row r="225" spans="1:3">
      <c r="A225" s="35"/>
      <c r="B225" s="38"/>
      <c r="C225" s="38"/>
    </row>
    <row r="226" spans="1:3">
      <c r="A226" s="35"/>
      <c r="B226" s="38"/>
      <c r="C226" s="38"/>
    </row>
    <row r="227" spans="1:3">
      <c r="A227" s="35"/>
      <c r="B227" s="38"/>
      <c r="C227" s="38"/>
    </row>
    <row r="228" spans="1:3">
      <c r="A228" s="35"/>
      <c r="B228" s="38"/>
      <c r="C228" s="38"/>
    </row>
    <row r="229" spans="1:3">
      <c r="A229" s="35"/>
      <c r="B229" s="38"/>
      <c r="C229" s="38"/>
    </row>
  </sheetData>
  <conditionalFormatting sqref="M1:M1048576">
    <cfRule type="cellIs" dxfId="1" priority="1" operator="lessThan">
      <formula>0</formula>
    </cfRule>
    <cfRule type="cellIs" dxfId="0" priority="2" operator="greaterThan">
      <formula>0</formula>
    </cfRule>
  </conditionalFormatting>
  <conditionalFormatting sqref="M3">
    <cfRule type="colorScale" priority="3">
      <colorScale>
        <cfvo type="formula" val="&quot;&lt;0&quot;"/>
        <cfvo type="formula" val="&quot;&gt;0&quot;"/>
        <color theme="5" tint="0.79998168889431442"/>
        <color theme="9" tint="0.79998168889431442"/>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af16034-0222-4313-a377-8b6d340db5bb" xsi:nil="true"/>
    <lcf76f155ced4ddcb4097134ff3c332f xmlns="859dd375-3f4c-490e-9c84-af08065d19c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1DF3CD0B058C44AFCCEF2F21C02A97" ma:contentTypeVersion="13" ma:contentTypeDescription="Create a new document." ma:contentTypeScope="" ma:versionID="e76693910488a49b0f8e8184ceb7fe24">
  <xsd:schema xmlns:xsd="http://www.w3.org/2001/XMLSchema" xmlns:xs="http://www.w3.org/2001/XMLSchema" xmlns:p="http://schemas.microsoft.com/office/2006/metadata/properties" xmlns:ns2="859dd375-3f4c-490e-9c84-af08065d19c5" xmlns:ns3="9af16034-0222-4313-a377-8b6d340db5bb" targetNamespace="http://schemas.microsoft.com/office/2006/metadata/properties" ma:root="true" ma:fieldsID="4bee7323d6e028935f6da39812fd39d1" ns2:_="" ns3:_="">
    <xsd:import namespace="859dd375-3f4c-490e-9c84-af08065d19c5"/>
    <xsd:import namespace="9af16034-0222-4313-a377-8b6d340db5b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9dd375-3f4c-490e-9c84-af08065d19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f35b11-f0c3-4324-8490-1778e53bd45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16034-0222-4313-a377-8b6d340db5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6ab0a6c-d133-4285-a7a3-dbdc288766e8}" ma:internalName="TaxCatchAll" ma:showField="CatchAllData" ma:web="9af16034-0222-4313-a377-8b6d340db5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2C486F-CA78-48EF-8C00-564D91E57EB3}"/>
</file>

<file path=customXml/itemProps2.xml><?xml version="1.0" encoding="utf-8"?>
<ds:datastoreItem xmlns:ds="http://schemas.openxmlformats.org/officeDocument/2006/customXml" ds:itemID="{BAD0F93D-7C92-4ED8-85DB-42031E346D84}"/>
</file>

<file path=customXml/itemProps3.xml><?xml version="1.0" encoding="utf-8"?>
<ds:datastoreItem xmlns:ds="http://schemas.openxmlformats.org/officeDocument/2006/customXml" ds:itemID="{6382AC67-F8B0-4E4E-B0FF-2274378DFD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Henley</dc:creator>
  <cp:keywords/>
  <dc:description/>
  <cp:lastModifiedBy/>
  <cp:revision/>
  <dcterms:created xsi:type="dcterms:W3CDTF">2024-07-16T09:39:18Z</dcterms:created>
  <dcterms:modified xsi:type="dcterms:W3CDTF">2025-01-10T18:34:13Z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0x010100211DF3CD0B058C44AFCCEF2F21C02A97</vt:lpwstr>
  </property>
</Properties>
</file>